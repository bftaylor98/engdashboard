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Taylor\Documents\PP_Trial2\"/>
    </mc:Choice>
  </mc:AlternateContent>
  <xr:revisionPtr revIDLastSave="0" documentId="13_ncr:1_{660A12F0-8532-4F51-B1E2-7BAD642A2121}" xr6:coauthVersionLast="47" xr6:coauthVersionMax="47" xr10:uidLastSave="{00000000-0000-0000-0000-000000000000}"/>
  <bookViews>
    <workbookView xWindow="38280" yWindow="-120" windowWidth="38640" windowHeight="21840" tabRatio="850" activeTab="3" xr2:uid="{00000000-000D-0000-FFFF-FFFF00000000}"/>
  </bookViews>
  <sheets>
    <sheet name="Cover" sheetId="17" r:id="rId1"/>
    <sheet name="Primary Operation 1" sheetId="4" r:id="rId2"/>
    <sheet name="Primary Operation 2" sheetId="20" r:id="rId3"/>
    <sheet name="Secondary Operation (2)" sheetId="28" r:id="rId4"/>
    <sheet name="Primary Operation 3" sheetId="21" r:id="rId5"/>
    <sheet name="Secondary Operation" sheetId="19" r:id="rId6"/>
    <sheet name="Primary Operation 4" sheetId="22" r:id="rId7"/>
    <sheet name="Primary Operation 5" sheetId="23" r:id="rId8"/>
    <sheet name="Primary Operation 6" sheetId="24" r:id="rId9"/>
    <sheet name="Primary Operation 7" sheetId="25" state="hidden" r:id="rId10"/>
    <sheet name="Primary Operation 8" sheetId="26" state="hidden" r:id="rId11"/>
    <sheet name="Extra Tools &amp; No Notes" sheetId="27" state="hidden" r:id="rId12"/>
    <sheet name="Revision Log" sheetId="16" state="hidden" r:id="rId13"/>
    <sheet name="Construction Sheet" sheetId="5" state="hidden" r:id="rId14"/>
  </sheets>
  <definedNames>
    <definedName name="_xlnm.Print_Area" localSheetId="0">Cover!#REF!</definedName>
    <definedName name="_xlnm.Print_Area" localSheetId="11">'Extra Tools &amp; No Notes'!$A$1:$W$52</definedName>
    <definedName name="_xlnm.Print_Area" localSheetId="1">'Primary Operation 1'!$A$1:$W$52</definedName>
    <definedName name="_xlnm.Print_Area" localSheetId="2">'Primary Operation 2'!$A$1:$W$52</definedName>
    <definedName name="_xlnm.Print_Area" localSheetId="4">'Primary Operation 3'!$A$1:$W$52</definedName>
    <definedName name="_xlnm.Print_Area" localSheetId="6">'Primary Operation 4'!$A$1:$W$52</definedName>
    <definedName name="_xlnm.Print_Area" localSheetId="7">'Primary Operation 5'!$A$1:$W$52</definedName>
    <definedName name="_xlnm.Print_Area" localSheetId="8">'Primary Operation 6'!$A$1:$W$52</definedName>
    <definedName name="_xlnm.Print_Area" localSheetId="9">'Primary Operation 7'!$A$1:$W$52</definedName>
    <definedName name="_xlnm.Print_Area" localSheetId="10">'Primary Operation 8'!$A$1:$W$52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2" i="28" l="1"/>
  <c r="D52" i="28" a="1"/>
  <c r="D52" i="28" s="1"/>
  <c r="I32" i="23"/>
  <c r="D52" i="17"/>
  <c r="K29" i="5" l="1"/>
  <c r="K28" i="5"/>
  <c r="K27" i="5"/>
  <c r="K26" i="5"/>
  <c r="K25" i="5"/>
  <c r="K24" i="5"/>
  <c r="K23" i="5"/>
  <c r="K22" i="5"/>
  <c r="G51" i="27"/>
  <c r="B51" i="27"/>
  <c r="M51" i="27" s="1"/>
  <c r="B45" i="27"/>
  <c r="I45" i="27" s="1"/>
  <c r="G45" i="27"/>
  <c r="G50" i="27"/>
  <c r="B50" i="27"/>
  <c r="M50" i="27" s="1"/>
  <c r="G48" i="27"/>
  <c r="B48" i="27"/>
  <c r="I48" i="27" s="1"/>
  <c r="G46" i="27"/>
  <c r="B46" i="27"/>
  <c r="M46" i="27" s="1"/>
  <c r="K49" i="27"/>
  <c r="G49" i="27"/>
  <c r="B49" i="27"/>
  <c r="M49" i="27" s="1"/>
  <c r="G47" i="27"/>
  <c r="B47" i="27"/>
  <c r="M47" i="27" s="1"/>
  <c r="U52" i="27"/>
  <c r="D52" i="27" a="1"/>
  <c r="D52" i="27" s="1"/>
  <c r="G44" i="27"/>
  <c r="B44" i="27"/>
  <c r="M44" i="27" s="1"/>
  <c r="G43" i="27"/>
  <c r="B43" i="27"/>
  <c r="M43" i="27" s="1"/>
  <c r="G42" i="27"/>
  <c r="B42" i="27"/>
  <c r="M42" i="27" s="1"/>
  <c r="G41" i="27"/>
  <c r="B41" i="27"/>
  <c r="I41" i="27" s="1"/>
  <c r="G40" i="27"/>
  <c r="B40" i="27"/>
  <c r="M40" i="27" s="1"/>
  <c r="G39" i="27"/>
  <c r="B39" i="27"/>
  <c r="M39" i="27" s="1"/>
  <c r="G38" i="27"/>
  <c r="B38" i="27"/>
  <c r="M38" i="27" s="1"/>
  <c r="G37" i="27"/>
  <c r="B37" i="27"/>
  <c r="I37" i="27" s="1"/>
  <c r="G36" i="27"/>
  <c r="B36" i="27"/>
  <c r="M36" i="27" s="1"/>
  <c r="G35" i="27"/>
  <c r="B35" i="27"/>
  <c r="M35" i="27" s="1"/>
  <c r="G34" i="27"/>
  <c r="B34" i="27"/>
  <c r="M34" i="27" s="1"/>
  <c r="G33" i="27"/>
  <c r="B33" i="27"/>
  <c r="I33" i="27" s="1"/>
  <c r="G32" i="27"/>
  <c r="B32" i="27"/>
  <c r="M32" i="27" s="1"/>
  <c r="G31" i="27"/>
  <c r="B31" i="27"/>
  <c r="M31" i="27" s="1"/>
  <c r="G30" i="27"/>
  <c r="B30" i="27"/>
  <c r="M30" i="27" s="1"/>
  <c r="B12" i="27" a="1"/>
  <c r="B12" i="27" s="1"/>
  <c r="B11" i="27" a="1"/>
  <c r="B11" i="27" s="1"/>
  <c r="U52" i="26"/>
  <c r="D52" i="26" a="1"/>
  <c r="D52" i="26" s="1"/>
  <c r="G44" i="26"/>
  <c r="B44" i="26"/>
  <c r="M44" i="26" s="1"/>
  <c r="G43" i="26"/>
  <c r="B43" i="26"/>
  <c r="M43" i="26" s="1"/>
  <c r="G42" i="26"/>
  <c r="B42" i="26"/>
  <c r="M42" i="26" s="1"/>
  <c r="G41" i="26"/>
  <c r="B41" i="26"/>
  <c r="I41" i="26" s="1"/>
  <c r="G40" i="26"/>
  <c r="B40" i="26"/>
  <c r="M40" i="26" s="1"/>
  <c r="G39" i="26"/>
  <c r="B39" i="26"/>
  <c r="M39" i="26" s="1"/>
  <c r="G38" i="26"/>
  <c r="B38" i="26"/>
  <c r="M38" i="26" s="1"/>
  <c r="G37" i="26"/>
  <c r="B37" i="26"/>
  <c r="I37" i="26" s="1"/>
  <c r="G36" i="26"/>
  <c r="B36" i="26"/>
  <c r="M36" i="26" s="1"/>
  <c r="G35" i="26"/>
  <c r="B35" i="26"/>
  <c r="M35" i="26" s="1"/>
  <c r="G34" i="26"/>
  <c r="B34" i="26"/>
  <c r="M34" i="26" s="1"/>
  <c r="G33" i="26"/>
  <c r="B33" i="26"/>
  <c r="I33" i="26" s="1"/>
  <c r="G32" i="26"/>
  <c r="B32" i="26"/>
  <c r="M32" i="26" s="1"/>
  <c r="G31" i="26"/>
  <c r="B31" i="26"/>
  <c r="M31" i="26" s="1"/>
  <c r="G30" i="26"/>
  <c r="B30" i="26"/>
  <c r="M30" i="26" s="1"/>
  <c r="B12" i="26" a="1"/>
  <c r="B12" i="26" s="1"/>
  <c r="B11" i="26" a="1"/>
  <c r="B11" i="26" s="1"/>
  <c r="U52" i="25"/>
  <c r="D52" i="25" a="1"/>
  <c r="D52" i="25" s="1"/>
  <c r="G44" i="25"/>
  <c r="B44" i="25"/>
  <c r="M44" i="25" s="1"/>
  <c r="G43" i="25"/>
  <c r="B43" i="25"/>
  <c r="M43" i="25" s="1"/>
  <c r="G42" i="25"/>
  <c r="B42" i="25"/>
  <c r="M42" i="25" s="1"/>
  <c r="G41" i="25"/>
  <c r="B41" i="25"/>
  <c r="M41" i="25" s="1"/>
  <c r="G40" i="25"/>
  <c r="B40" i="25"/>
  <c r="M40" i="25" s="1"/>
  <c r="G39" i="25"/>
  <c r="B39" i="25"/>
  <c r="M39" i="25" s="1"/>
  <c r="G38" i="25"/>
  <c r="B38" i="25"/>
  <c r="M38" i="25" s="1"/>
  <c r="G37" i="25"/>
  <c r="B37" i="25"/>
  <c r="M37" i="25" s="1"/>
  <c r="G36" i="25"/>
  <c r="B36" i="25"/>
  <c r="M36" i="25" s="1"/>
  <c r="G35" i="25"/>
  <c r="B35" i="25"/>
  <c r="M35" i="25" s="1"/>
  <c r="G34" i="25"/>
  <c r="B34" i="25"/>
  <c r="M34" i="25" s="1"/>
  <c r="G33" i="25"/>
  <c r="B33" i="25"/>
  <c r="M33" i="25" s="1"/>
  <c r="G32" i="25"/>
  <c r="B32" i="25"/>
  <c r="M32" i="25" s="1"/>
  <c r="G31" i="25"/>
  <c r="B31" i="25"/>
  <c r="M31" i="25" s="1"/>
  <c r="G30" i="25"/>
  <c r="B30" i="25"/>
  <c r="M30" i="25" s="1"/>
  <c r="B12" i="25" a="1"/>
  <c r="B12" i="25" s="1"/>
  <c r="B11" i="25"/>
  <c r="B11" i="25" a="1"/>
  <c r="U52" i="24"/>
  <c r="D52" i="24" a="1"/>
  <c r="D52" i="24" s="1"/>
  <c r="G44" i="24"/>
  <c r="B44" i="24"/>
  <c r="K44" i="24" s="1"/>
  <c r="G43" i="24"/>
  <c r="B43" i="24"/>
  <c r="K43" i="24" s="1"/>
  <c r="G42" i="24"/>
  <c r="B42" i="24"/>
  <c r="I42" i="24" s="1"/>
  <c r="G41" i="24"/>
  <c r="B41" i="24"/>
  <c r="K41" i="24" s="1"/>
  <c r="G40" i="24"/>
  <c r="B40" i="24"/>
  <c r="K40" i="24" s="1"/>
  <c r="G39" i="24"/>
  <c r="B39" i="24"/>
  <c r="K39" i="24" s="1"/>
  <c r="G38" i="24"/>
  <c r="B38" i="24"/>
  <c r="M38" i="24" s="1"/>
  <c r="G37" i="24"/>
  <c r="B37" i="24"/>
  <c r="K37" i="24" s="1"/>
  <c r="G36" i="24"/>
  <c r="B36" i="24"/>
  <c r="K36" i="24" s="1"/>
  <c r="G35" i="24"/>
  <c r="B35" i="24"/>
  <c r="K35" i="24" s="1"/>
  <c r="G34" i="24"/>
  <c r="B34" i="24"/>
  <c r="I34" i="24" s="1"/>
  <c r="G33" i="24"/>
  <c r="B33" i="24"/>
  <c r="K33" i="24" s="1"/>
  <c r="G32" i="24"/>
  <c r="B32" i="24"/>
  <c r="K32" i="24" s="1"/>
  <c r="B30" i="24"/>
  <c r="I30" i="24" s="1"/>
  <c r="B12" i="24" a="1"/>
  <c r="B12" i="24" s="1"/>
  <c r="B11" i="24" a="1"/>
  <c r="B11" i="24" s="1"/>
  <c r="U52" i="23"/>
  <c r="D52" i="23" a="1"/>
  <c r="D52" i="23" s="1"/>
  <c r="G44" i="23"/>
  <c r="B44" i="23"/>
  <c r="M44" i="23" s="1"/>
  <c r="G43" i="23"/>
  <c r="B43" i="23"/>
  <c r="M43" i="23" s="1"/>
  <c r="G42" i="23"/>
  <c r="B42" i="23"/>
  <c r="K42" i="23" s="1"/>
  <c r="G41" i="23"/>
  <c r="B41" i="23"/>
  <c r="M41" i="23" s="1"/>
  <c r="G40" i="23"/>
  <c r="B40" i="23"/>
  <c r="M40" i="23" s="1"/>
  <c r="G39" i="23"/>
  <c r="B39" i="23"/>
  <c r="M39" i="23" s="1"/>
  <c r="G38" i="23"/>
  <c r="B38" i="23"/>
  <c r="K38" i="23" s="1"/>
  <c r="G37" i="23"/>
  <c r="B37" i="23"/>
  <c r="M37" i="23" s="1"/>
  <c r="G36" i="23"/>
  <c r="B36" i="23"/>
  <c r="M36" i="23" s="1"/>
  <c r="G35" i="23"/>
  <c r="B35" i="23"/>
  <c r="M35" i="23" s="1"/>
  <c r="G33" i="23"/>
  <c r="B33" i="23"/>
  <c r="K33" i="23" s="1"/>
  <c r="B30" i="23"/>
  <c r="K30" i="23" s="1"/>
  <c r="B12" i="23" a="1"/>
  <c r="B12" i="23" s="1"/>
  <c r="B11" i="23" a="1"/>
  <c r="B11" i="23" s="1"/>
  <c r="U52" i="22"/>
  <c r="D52" i="22" a="1"/>
  <c r="D52" i="22" s="1"/>
  <c r="G44" i="22"/>
  <c r="B44" i="22"/>
  <c r="M44" i="22" s="1"/>
  <c r="G43" i="22"/>
  <c r="B43" i="22"/>
  <c r="K43" i="22" s="1"/>
  <c r="G42" i="22"/>
  <c r="B42" i="22"/>
  <c r="M42" i="22" s="1"/>
  <c r="G41" i="22"/>
  <c r="B41" i="22"/>
  <c r="K41" i="22" s="1"/>
  <c r="G40" i="22"/>
  <c r="B40" i="22"/>
  <c r="M40" i="22" s="1"/>
  <c r="G39" i="22"/>
  <c r="B39" i="22"/>
  <c r="K39" i="22" s="1"/>
  <c r="G38" i="22"/>
  <c r="B38" i="22"/>
  <c r="M38" i="22" s="1"/>
  <c r="G37" i="22"/>
  <c r="B37" i="22"/>
  <c r="M37" i="22" s="1"/>
  <c r="G36" i="22"/>
  <c r="B36" i="22"/>
  <c r="M36" i="22" s="1"/>
  <c r="G35" i="22"/>
  <c r="B35" i="22"/>
  <c r="K35" i="22" s="1"/>
  <c r="G34" i="22"/>
  <c r="B34" i="22"/>
  <c r="M34" i="22" s="1"/>
  <c r="G33" i="22"/>
  <c r="B33" i="22"/>
  <c r="K33" i="22" s="1"/>
  <c r="G32" i="22"/>
  <c r="B32" i="22"/>
  <c r="M32" i="22" s="1"/>
  <c r="B31" i="22"/>
  <c r="K31" i="22" s="1"/>
  <c r="B12" i="22" a="1"/>
  <c r="B12" i="22" s="1"/>
  <c r="B11" i="22" a="1"/>
  <c r="B11" i="22" s="1"/>
  <c r="U52" i="21"/>
  <c r="D52" i="21" a="1"/>
  <c r="D52" i="21" s="1"/>
  <c r="G44" i="21"/>
  <c r="B44" i="21"/>
  <c r="M44" i="21" s="1"/>
  <c r="G43" i="21"/>
  <c r="B43" i="21"/>
  <c r="M43" i="21" s="1"/>
  <c r="G42" i="21"/>
  <c r="B42" i="21"/>
  <c r="M42" i="21" s="1"/>
  <c r="G41" i="21"/>
  <c r="B41" i="21"/>
  <c r="M41" i="21" s="1"/>
  <c r="G40" i="21"/>
  <c r="B40" i="21"/>
  <c r="M40" i="21" s="1"/>
  <c r="G39" i="21"/>
  <c r="B39" i="21"/>
  <c r="M39" i="21" s="1"/>
  <c r="G38" i="21"/>
  <c r="B38" i="21"/>
  <c r="M38" i="21" s="1"/>
  <c r="G37" i="21"/>
  <c r="B37" i="21"/>
  <c r="K37" i="21" s="1"/>
  <c r="G36" i="21"/>
  <c r="B36" i="21"/>
  <c r="M36" i="21" s="1"/>
  <c r="G35" i="21"/>
  <c r="B35" i="21"/>
  <c r="M35" i="21" s="1"/>
  <c r="G34" i="21"/>
  <c r="B34" i="21"/>
  <c r="M34" i="21" s="1"/>
  <c r="G33" i="21"/>
  <c r="B33" i="21"/>
  <c r="K33" i="21" s="1"/>
  <c r="B32" i="21"/>
  <c r="M32" i="21" s="1"/>
  <c r="G30" i="21"/>
  <c r="B30" i="21"/>
  <c r="M30" i="21" s="1"/>
  <c r="B12" i="21" a="1"/>
  <c r="B12" i="21" s="1"/>
  <c r="B11" i="21" a="1"/>
  <c r="B11" i="21" s="1"/>
  <c r="U52" i="20"/>
  <c r="D52" i="20" a="1"/>
  <c r="D52" i="20" s="1"/>
  <c r="G44" i="20"/>
  <c r="B44" i="20"/>
  <c r="M44" i="20" s="1"/>
  <c r="G43" i="20"/>
  <c r="B43" i="20"/>
  <c r="M43" i="20" s="1"/>
  <c r="G42" i="20"/>
  <c r="B42" i="20"/>
  <c r="M42" i="20" s="1"/>
  <c r="G41" i="20"/>
  <c r="B41" i="20"/>
  <c r="M41" i="20" s="1"/>
  <c r="G40" i="20"/>
  <c r="B40" i="20"/>
  <c r="M40" i="20" s="1"/>
  <c r="G39" i="20"/>
  <c r="B39" i="20"/>
  <c r="M39" i="20" s="1"/>
  <c r="G38" i="20"/>
  <c r="B38" i="20"/>
  <c r="M38" i="20" s="1"/>
  <c r="G37" i="20"/>
  <c r="B37" i="20"/>
  <c r="M37" i="20" s="1"/>
  <c r="G36" i="20"/>
  <c r="B36" i="20"/>
  <c r="M36" i="20" s="1"/>
  <c r="G35" i="20"/>
  <c r="B35" i="20"/>
  <c r="M35" i="20" s="1"/>
  <c r="G34" i="20"/>
  <c r="B34" i="20"/>
  <c r="M34" i="20" s="1"/>
  <c r="G33" i="20"/>
  <c r="B33" i="20"/>
  <c r="K33" i="20" s="1"/>
  <c r="B32" i="20"/>
  <c r="M32" i="20" s="1"/>
  <c r="B31" i="20"/>
  <c r="M31" i="20" s="1"/>
  <c r="G30" i="20"/>
  <c r="B30" i="20"/>
  <c r="K30" i="20" s="1"/>
  <c r="B12" i="20" a="1"/>
  <c r="B12" i="20" s="1"/>
  <c r="B11" i="20" a="1"/>
  <c r="B11" i="20" s="1"/>
  <c r="D52" i="19" a="1"/>
  <c r="D52" i="19" s="1"/>
  <c r="I52" i="19"/>
  <c r="B44" i="4"/>
  <c r="K44" i="4" s="1"/>
  <c r="B43" i="4"/>
  <c r="I43" i="4" s="1"/>
  <c r="B42" i="4"/>
  <c r="M42" i="4" s="1"/>
  <c r="B41" i="4"/>
  <c r="K41" i="4" s="1"/>
  <c r="B40" i="4"/>
  <c r="M40" i="4" s="1"/>
  <c r="B39" i="4"/>
  <c r="M39" i="4" s="1"/>
  <c r="B38" i="4"/>
  <c r="K38" i="4" s="1"/>
  <c r="B37" i="4"/>
  <c r="K37" i="4" s="1"/>
  <c r="B36" i="4"/>
  <c r="K36" i="4" s="1"/>
  <c r="B35" i="4"/>
  <c r="K35" i="4" s="1"/>
  <c r="B34" i="4"/>
  <c r="M34" i="4" s="1"/>
  <c r="B33" i="4"/>
  <c r="I33" i="4" s="1"/>
  <c r="B32" i="4"/>
  <c r="B30" i="4"/>
  <c r="M30" i="4" s="1"/>
  <c r="S6" i="17"/>
  <c r="K15" i="5"/>
  <c r="J15" i="5"/>
  <c r="G30" i="4"/>
  <c r="G44" i="4"/>
  <c r="G43" i="4"/>
  <c r="G42" i="4"/>
  <c r="G41" i="4"/>
  <c r="G40" i="4"/>
  <c r="G39" i="4"/>
  <c r="G38" i="4"/>
  <c r="G37" i="4"/>
  <c r="G36" i="4"/>
  <c r="G35" i="4"/>
  <c r="G32" i="4"/>
  <c r="B11" i="4" a="1"/>
  <c r="B11" i="4" s="1"/>
  <c r="I50" i="27" l="1"/>
  <c r="I49" i="27"/>
  <c r="K48" i="27"/>
  <c r="I51" i="27"/>
  <c r="K51" i="27"/>
  <c r="M45" i="27"/>
  <c r="K45" i="27"/>
  <c r="K50" i="27"/>
  <c r="M48" i="27"/>
  <c r="I46" i="27"/>
  <c r="K46" i="27"/>
  <c r="I47" i="27"/>
  <c r="K47" i="27"/>
  <c r="M37" i="27"/>
  <c r="M33" i="27"/>
  <c r="I38" i="27"/>
  <c r="K38" i="27"/>
  <c r="I34" i="27"/>
  <c r="I30" i="27"/>
  <c r="M41" i="27"/>
  <c r="K34" i="27"/>
  <c r="I42" i="27"/>
  <c r="K42" i="27"/>
  <c r="K30" i="27"/>
  <c r="K33" i="27"/>
  <c r="K37" i="27"/>
  <c r="K41" i="27"/>
  <c r="I31" i="27"/>
  <c r="I35" i="27"/>
  <c r="I39" i="27"/>
  <c r="I43" i="27"/>
  <c r="K31" i="27"/>
  <c r="K35" i="27"/>
  <c r="K39" i="27"/>
  <c r="K43" i="27"/>
  <c r="I32" i="27"/>
  <c r="I36" i="27"/>
  <c r="I40" i="27"/>
  <c r="I44" i="27"/>
  <c r="K32" i="27"/>
  <c r="K36" i="27"/>
  <c r="K40" i="27"/>
  <c r="K44" i="27"/>
  <c r="M43" i="24"/>
  <c r="K34" i="24"/>
  <c r="K36" i="21"/>
  <c r="M42" i="24"/>
  <c r="M44" i="24"/>
  <c r="K31" i="25"/>
  <c r="K44" i="22"/>
  <c r="K44" i="25"/>
  <c r="I37" i="25"/>
  <c r="K40" i="21"/>
  <c r="M32" i="24"/>
  <c r="I37" i="24"/>
  <c r="M42" i="23"/>
  <c r="I39" i="25"/>
  <c r="M33" i="24"/>
  <c r="K42" i="24"/>
  <c r="K32" i="25"/>
  <c r="M30" i="23"/>
  <c r="K40" i="25"/>
  <c r="I33" i="25"/>
  <c r="K36" i="22"/>
  <c r="I36" i="23"/>
  <c r="K35" i="25"/>
  <c r="K43" i="25"/>
  <c r="I38" i="25"/>
  <c r="I44" i="25"/>
  <c r="I38" i="24"/>
  <c r="K38" i="24"/>
  <c r="M31" i="22"/>
  <c r="M39" i="22"/>
  <c r="I33" i="24"/>
  <c r="K39" i="25"/>
  <c r="I30" i="23"/>
  <c r="I44" i="23"/>
  <c r="I34" i="25"/>
  <c r="K32" i="21"/>
  <c r="K32" i="22"/>
  <c r="K40" i="22"/>
  <c r="M39" i="24"/>
  <c r="I40" i="25"/>
  <c r="K40" i="4"/>
  <c r="M30" i="20"/>
  <c r="I38" i="23"/>
  <c r="M38" i="23"/>
  <c r="M34" i="24"/>
  <c r="I35" i="25"/>
  <c r="I41" i="4"/>
  <c r="M40" i="24"/>
  <c r="I41" i="25"/>
  <c r="M38" i="4"/>
  <c r="M35" i="24"/>
  <c r="I30" i="25"/>
  <c r="I41" i="24"/>
  <c r="I36" i="25"/>
  <c r="K44" i="21"/>
  <c r="M35" i="22"/>
  <c r="M43" i="22"/>
  <c r="M33" i="23"/>
  <c r="I40" i="23"/>
  <c r="K30" i="24"/>
  <c r="M41" i="24"/>
  <c r="K36" i="25"/>
  <c r="I42" i="25"/>
  <c r="M30" i="24"/>
  <c r="M36" i="24"/>
  <c r="I31" i="25"/>
  <c r="I43" i="25"/>
  <c r="I42" i="23"/>
  <c r="M37" i="24"/>
  <c r="I32" i="25"/>
  <c r="K33" i="26"/>
  <c r="K37" i="26"/>
  <c r="K41" i="26"/>
  <c r="M41" i="26"/>
  <c r="I35" i="23"/>
  <c r="I39" i="23"/>
  <c r="I43" i="23"/>
  <c r="K30" i="25"/>
  <c r="K34" i="25"/>
  <c r="K38" i="25"/>
  <c r="K42" i="25"/>
  <c r="M33" i="26"/>
  <c r="K35" i="23"/>
  <c r="K39" i="23"/>
  <c r="K43" i="23"/>
  <c r="I30" i="26"/>
  <c r="I34" i="26"/>
  <c r="I38" i="26"/>
  <c r="I42" i="26"/>
  <c r="I35" i="24"/>
  <c r="I39" i="24"/>
  <c r="I43" i="24"/>
  <c r="K30" i="26"/>
  <c r="K34" i="26"/>
  <c r="K38" i="26"/>
  <c r="K42" i="26"/>
  <c r="M37" i="26"/>
  <c r="K36" i="23"/>
  <c r="K40" i="23"/>
  <c r="K44" i="23"/>
  <c r="I31" i="26"/>
  <c r="I35" i="26"/>
  <c r="I39" i="26"/>
  <c r="I43" i="26"/>
  <c r="I32" i="24"/>
  <c r="I36" i="24"/>
  <c r="I40" i="24"/>
  <c r="I44" i="24"/>
  <c r="K31" i="26"/>
  <c r="K35" i="26"/>
  <c r="K39" i="26"/>
  <c r="K43" i="26"/>
  <c r="I33" i="23"/>
  <c r="I37" i="23"/>
  <c r="I41" i="23"/>
  <c r="K37" i="23"/>
  <c r="K41" i="23"/>
  <c r="I32" i="26"/>
  <c r="I36" i="26"/>
  <c r="I40" i="26"/>
  <c r="I44" i="26"/>
  <c r="K32" i="26"/>
  <c r="K36" i="26"/>
  <c r="K40" i="26"/>
  <c r="K44" i="26"/>
  <c r="K33" i="25"/>
  <c r="K37" i="25"/>
  <c r="K41" i="25"/>
  <c r="I33" i="22"/>
  <c r="M33" i="22"/>
  <c r="M41" i="22"/>
  <c r="I34" i="22"/>
  <c r="I42" i="22"/>
  <c r="K34" i="22"/>
  <c r="K38" i="22"/>
  <c r="K42" i="22"/>
  <c r="I41" i="22"/>
  <c r="K37" i="22"/>
  <c r="I30" i="22"/>
  <c r="I38" i="22"/>
  <c r="I37" i="22"/>
  <c r="I31" i="22"/>
  <c r="I35" i="22"/>
  <c r="I39" i="22"/>
  <c r="I43" i="22"/>
  <c r="I32" i="22"/>
  <c r="I36" i="22"/>
  <c r="I40" i="22"/>
  <c r="I44" i="22"/>
  <c r="K41" i="21"/>
  <c r="I34" i="21"/>
  <c r="I38" i="21"/>
  <c r="I42" i="21"/>
  <c r="I41" i="21"/>
  <c r="M33" i="21"/>
  <c r="K30" i="21"/>
  <c r="K38" i="21"/>
  <c r="K42" i="21"/>
  <c r="I33" i="21"/>
  <c r="I30" i="21"/>
  <c r="K34" i="21"/>
  <c r="M37" i="21"/>
  <c r="I31" i="21"/>
  <c r="I35" i="21"/>
  <c r="I43" i="21"/>
  <c r="K35" i="21"/>
  <c r="K39" i="21"/>
  <c r="K43" i="21"/>
  <c r="I39" i="21"/>
  <c r="I37" i="21"/>
  <c r="I32" i="21"/>
  <c r="I36" i="21"/>
  <c r="I40" i="21"/>
  <c r="I44" i="21"/>
  <c r="I34" i="20"/>
  <c r="I33" i="20"/>
  <c r="I30" i="20"/>
  <c r="I38" i="20"/>
  <c r="I42" i="20"/>
  <c r="K34" i="20"/>
  <c r="K38" i="20"/>
  <c r="K42" i="20"/>
  <c r="K41" i="20"/>
  <c r="I37" i="20"/>
  <c r="I41" i="20"/>
  <c r="K37" i="20"/>
  <c r="I31" i="20"/>
  <c r="I35" i="20"/>
  <c r="I43" i="20"/>
  <c r="K31" i="20"/>
  <c r="K35" i="20"/>
  <c r="K39" i="20"/>
  <c r="K43" i="20"/>
  <c r="M33" i="20"/>
  <c r="I39" i="20"/>
  <c r="I32" i="20"/>
  <c r="I36" i="20"/>
  <c r="I40" i="20"/>
  <c r="I44" i="20"/>
  <c r="K32" i="20"/>
  <c r="K36" i="20"/>
  <c r="K40" i="20"/>
  <c r="K44" i="20"/>
  <c r="M44" i="4"/>
  <c r="M36" i="4"/>
  <c r="M35" i="4"/>
  <c r="M37" i="4"/>
  <c r="K43" i="4"/>
  <c r="K42" i="4"/>
  <c r="K33" i="4"/>
  <c r="K34" i="4"/>
  <c r="M33" i="4"/>
  <c r="M41" i="4"/>
  <c r="M43" i="4"/>
  <c r="K39" i="4"/>
  <c r="K30" i="4"/>
  <c r="I42" i="4"/>
  <c r="I40" i="4"/>
  <c r="I39" i="4"/>
  <c r="I38" i="4"/>
  <c r="I35" i="4"/>
  <c r="I34" i="4"/>
  <c r="I37" i="4"/>
  <c r="I30" i="4"/>
  <c r="I44" i="4"/>
  <c r="I36" i="4"/>
  <c r="U52" i="4"/>
  <c r="U50" i="17"/>
  <c r="D52" i="4" a="1"/>
  <c r="D52" i="4" s="1"/>
  <c r="B12" i="4" l="1" a="1"/>
  <c r="B12" i="4" s="1"/>
  <c r="M32" i="4" l="1"/>
  <c r="K32" i="4"/>
  <c r="I3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<sst xmlns="http://schemas.openxmlformats.org/spreadsheetml/2006/main" count="905" uniqueCount="266">
  <si>
    <t>Part Number</t>
  </si>
  <si>
    <t>SO Number</t>
  </si>
  <si>
    <t>Material</t>
  </si>
  <si>
    <t>CAM Package</t>
  </si>
  <si>
    <t>Last Reviewed By</t>
  </si>
  <si>
    <t>Review Date</t>
  </si>
  <si>
    <t>Current Program Revision</t>
  </si>
  <si>
    <t>Total Runtime</t>
  </si>
  <si>
    <t>Mastercam</t>
  </si>
  <si>
    <t>Program Level</t>
  </si>
  <si>
    <t>FRM-PRD-31 Trial Revision</t>
  </si>
  <si>
    <t>Primary Operation 1</t>
  </si>
  <si>
    <t>Program Information</t>
  </si>
  <si>
    <t>Part Setup View</t>
  </si>
  <si>
    <t>Engineer</t>
  </si>
  <si>
    <t>Operation Description</t>
  </si>
  <si>
    <t>Machine Type</t>
  </si>
  <si>
    <t>Program Name</t>
  </si>
  <si>
    <t>Operation Runtime</t>
  </si>
  <si>
    <t>Part Setup Information</t>
  </si>
  <si>
    <t>Axis</t>
  </si>
  <si>
    <t>Program Datum</t>
  </si>
  <si>
    <t>Machine Coordinates</t>
  </si>
  <si>
    <t>Operator Initials</t>
  </si>
  <si>
    <t>Date</t>
  </si>
  <si>
    <t>X</t>
  </si>
  <si>
    <t>Y</t>
  </si>
  <si>
    <t>Z</t>
  </si>
  <si>
    <t>A/B</t>
  </si>
  <si>
    <t>W</t>
  </si>
  <si>
    <t>Fixture</t>
  </si>
  <si>
    <t>Fixturing Notes</t>
  </si>
  <si>
    <t>Program Adjustments</t>
  </si>
  <si>
    <t>Adjustments Made</t>
  </si>
  <si>
    <t>Date &amp; Time</t>
  </si>
  <si>
    <t>Initials</t>
  </si>
  <si>
    <t>Compensation Programs</t>
  </si>
  <si>
    <t>Order</t>
  </si>
  <si>
    <t>Tool #</t>
  </si>
  <si>
    <t>Per Side Comp.</t>
  </si>
  <si>
    <t>FRONT</t>
  </si>
  <si>
    <t>Tooling Information</t>
  </si>
  <si>
    <t xml:space="preserve">Tool Setup </t>
  </si>
  <si>
    <t>Description</t>
  </si>
  <si>
    <t>Corner</t>
  </si>
  <si>
    <t>Stickout</t>
  </si>
  <si>
    <t>Runout Req.</t>
  </si>
  <si>
    <t>Holder Type</t>
  </si>
  <si>
    <t>Cooling</t>
  </si>
  <si>
    <t>Runtime</t>
  </si>
  <si>
    <t>Notes</t>
  </si>
  <si>
    <t>Preset</t>
  </si>
  <si>
    <t>Runout</t>
  </si>
  <si>
    <t>General Notes</t>
  </si>
  <si>
    <t>Request Assistance</t>
  </si>
  <si>
    <t>Program Feedback</t>
  </si>
  <si>
    <t>Primary Operation 2</t>
  </si>
  <si>
    <t>Primary Operation 3</t>
  </si>
  <si>
    <t>Primary Operation 4</t>
  </si>
  <si>
    <t>Primary Operation 5</t>
  </si>
  <si>
    <t>Primary Operation 6</t>
  </si>
  <si>
    <t>Primary Operation 7</t>
  </si>
  <si>
    <t>Primary Operation 8</t>
  </si>
  <si>
    <t>Primary Operation ________</t>
  </si>
  <si>
    <t>Secondary Operation</t>
  </si>
  <si>
    <t>Operation Information</t>
  </si>
  <si>
    <t>Workstation</t>
  </si>
  <si>
    <t>Summary</t>
  </si>
  <si>
    <t>Next Operation</t>
  </si>
  <si>
    <t>Optional Graphics</t>
  </si>
  <si>
    <t>Program Revision Log</t>
  </si>
  <si>
    <t>Description of Changes</t>
  </si>
  <si>
    <t>New Revision #</t>
  </si>
  <si>
    <t>Standard Tooling</t>
  </si>
  <si>
    <t>Fixture Types</t>
  </si>
  <si>
    <t>Engineers</t>
  </si>
  <si>
    <t>CAM Packages</t>
  </si>
  <si>
    <t>Common X &amp; Y Locations</t>
  </si>
  <si>
    <t>Common Z Locations</t>
  </si>
  <si>
    <t>Common 4 Axis Locations</t>
  </si>
  <si>
    <t>Quill</t>
  </si>
  <si>
    <t>Tool Description</t>
  </si>
  <si>
    <t>Radius</t>
  </si>
  <si>
    <t>Length</t>
  </si>
  <si>
    <t>Vise</t>
  </si>
  <si>
    <t>Brad Taylor</t>
  </si>
  <si>
    <t>VMC</t>
  </si>
  <si>
    <t>Edgecam</t>
  </si>
  <si>
    <t>Center of stock</t>
  </si>
  <si>
    <t>Top after skimming flat</t>
  </si>
  <si>
    <t>Approx. 0-Degrees</t>
  </si>
  <si>
    <t>Fully Retracted</t>
  </si>
  <si>
    <t>ø5/8" Mitsubishi AJX Feedmill</t>
  </si>
  <si>
    <t>.078r</t>
  </si>
  <si>
    <t>2.5"</t>
  </si>
  <si>
    <t>Weldon / Collet</t>
  </si>
  <si>
    <t>Air Blast</t>
  </si>
  <si>
    <t>Magnet</t>
  </si>
  <si>
    <t>Thad Slone</t>
  </si>
  <si>
    <t>HBMX</t>
  </si>
  <si>
    <t>Fusion 360</t>
  </si>
  <si>
    <t>Center of part</t>
  </si>
  <si>
    <t>Top after decking to thickness</t>
  </si>
  <si>
    <t>Any Rotation</t>
  </si>
  <si>
    <t>4.1"</t>
  </si>
  <si>
    <t>Angle Plate</t>
  </si>
  <si>
    <t>Mike Wardlow</t>
  </si>
  <si>
    <t>Lathe</t>
  </si>
  <si>
    <t>Top of part</t>
  </si>
  <si>
    <t>ø3/4" Mitsubishi AJX Feedmill</t>
  </si>
  <si>
    <t>.098r</t>
  </si>
  <si>
    <t>Alex Vincent</t>
  </si>
  <si>
    <t>VMC / Rotary A</t>
  </si>
  <si>
    <t>5"</t>
  </si>
  <si>
    <t>ø1" Mitsubishi AJX Feedmill</t>
  </si>
  <si>
    <t>.118r</t>
  </si>
  <si>
    <t>ø1 1/4" Mitsubishi AJX Feedmill</t>
  </si>
  <si>
    <t>3.25"</t>
  </si>
  <si>
    <t>Weldon</t>
  </si>
  <si>
    <t>5.5"</t>
  </si>
  <si>
    <t>ø2" Mitsubishi AJX Feedmill</t>
  </si>
  <si>
    <t>3.75"</t>
  </si>
  <si>
    <t>Arbor</t>
  </si>
  <si>
    <t>6"</t>
  </si>
  <si>
    <t>ø3/8" Millstar / OSG Bullmill</t>
  </si>
  <si>
    <t>.06/.015r</t>
  </si>
  <si>
    <t>3"</t>
  </si>
  <si>
    <t>Collet / Shrinkfit</t>
  </si>
  <si>
    <t>Flood Coolant</t>
  </si>
  <si>
    <t>ø3/8" Millstar / OSG Ballnose</t>
  </si>
  <si>
    <t>N/A</t>
  </si>
  <si>
    <t>ø1/2" Millstar / OSG Bullmill</t>
  </si>
  <si>
    <t>Regular Steel</t>
  </si>
  <si>
    <t>ø1/2" Millstar / OSG Ballnose</t>
  </si>
  <si>
    <t>4140 PH</t>
  </si>
  <si>
    <t>ø3/4" Millstar / OSG Bullmill</t>
  </si>
  <si>
    <t>F-Xtra T2</t>
  </si>
  <si>
    <t>ø3/4" Millstar / OSG Ballnose</t>
  </si>
  <si>
    <t>S7 Tool Steel</t>
  </si>
  <si>
    <t>ø1" Millstar / OSG Bullmill</t>
  </si>
  <si>
    <t>4.2"</t>
  </si>
  <si>
    <t>A2 Tool Steel</t>
  </si>
  <si>
    <t>Nine9 Spotdrill</t>
  </si>
  <si>
    <t>.3"</t>
  </si>
  <si>
    <t>H13 Tool Steel</t>
  </si>
  <si>
    <t>ø.315 Mitubishi Chamfer Mill</t>
  </si>
  <si>
    <t>.2"</t>
  </si>
  <si>
    <t>6061-T6 Aluminum</t>
  </si>
  <si>
    <t>ø 1  1/4'' Mitubishi Slotmill</t>
  </si>
  <si>
    <t>6.5''</t>
  </si>
  <si>
    <t xml:space="preserve">Weldon  </t>
  </si>
  <si>
    <t>HRS</t>
  </si>
  <si>
    <t>ø3" Mitsubishi WJX Feedmill</t>
  </si>
  <si>
    <t>0.118r</t>
  </si>
  <si>
    <t>4.5"</t>
  </si>
  <si>
    <t>CRS</t>
  </si>
  <si>
    <t>ø3" Mistubishi WJX Feedmill</t>
  </si>
  <si>
    <t>Long</t>
  </si>
  <si>
    <t>ø.464 OSG Solid Carbide Drill</t>
  </si>
  <si>
    <t>2.8"</t>
  </si>
  <si>
    <t>Collet / Drill Chuck</t>
  </si>
  <si>
    <t>1/2"-13 OSG Form Tap</t>
  </si>
  <si>
    <t xml:space="preserve">1.9" </t>
  </si>
  <si>
    <t>Morse Taper / Collet</t>
  </si>
  <si>
    <t>Cutting Oil</t>
  </si>
  <si>
    <t>ø0.705 Iscar Sumocham Drill</t>
  </si>
  <si>
    <t>3/4"-10 OSG Form Tap</t>
  </si>
  <si>
    <t>ø0.660 Sumitomo SMD Drill</t>
  </si>
  <si>
    <t>3.2"</t>
  </si>
  <si>
    <t>ø0.984 Sumitomo SMD Drill</t>
  </si>
  <si>
    <t>4.9"</t>
  </si>
  <si>
    <t>ø0.234 HSS Drill</t>
  </si>
  <si>
    <t>1"</t>
  </si>
  <si>
    <t>Collet</t>
  </si>
  <si>
    <t>Holder Types</t>
  </si>
  <si>
    <t>Cooling Types</t>
  </si>
  <si>
    <t>ø0.250 HSS Slip Fit Reamer</t>
  </si>
  <si>
    <t>ø0.991 Allied TA Pro Drill</t>
  </si>
  <si>
    <t>ATS</t>
  </si>
  <si>
    <t>ø1.004 Allied Replaceable Head Reamer</t>
  </si>
  <si>
    <t>Special Holder</t>
  </si>
  <si>
    <t>CTS</t>
  </si>
  <si>
    <t>ø1.001 HSS Reamer</t>
  </si>
  <si>
    <t>4"</t>
  </si>
  <si>
    <t>Shrinkfit</t>
  </si>
  <si>
    <t>ø2" Ingersoll IsoPlus Feedmill</t>
  </si>
  <si>
    <t>.155r</t>
  </si>
  <si>
    <t>Hydraulic</t>
  </si>
  <si>
    <t>Drill Chuck</t>
  </si>
  <si>
    <t>Morse Taper</t>
  </si>
  <si>
    <t>FRM-PRD-33 - Rev. A</t>
  </si>
  <si>
    <t xml:space="preserve">45 Degree Twist Stop Block </t>
  </si>
  <si>
    <t>TK-3424-045</t>
  </si>
  <si>
    <t>A-TK-3424-045</t>
  </si>
  <si>
    <t>.06r</t>
  </si>
  <si>
    <t>.015r</t>
  </si>
  <si>
    <t xml:space="preserve">Profile And Chamfer </t>
  </si>
  <si>
    <t>B-TK-3424-045</t>
  </si>
  <si>
    <t xml:space="preserve">Holes </t>
  </si>
  <si>
    <t>C-TK-3424-045</t>
  </si>
  <si>
    <t xml:space="preserve">Counter Bores </t>
  </si>
  <si>
    <t>D-TK-3424-045</t>
  </si>
  <si>
    <t xml:space="preserve">Top of green surface </t>
  </si>
  <si>
    <t>26-0099</t>
  </si>
  <si>
    <t>Damien McDaniel</t>
  </si>
  <si>
    <t>Atleast 2.05" Out Of Vise / Drills through 2.47" deep</t>
  </si>
  <si>
    <t>50 min</t>
  </si>
  <si>
    <t>52 min</t>
  </si>
  <si>
    <t>1 min</t>
  </si>
  <si>
    <t>5 min</t>
  </si>
  <si>
    <t>2 hrs</t>
  </si>
  <si>
    <t xml:space="preserve">Pre heat treat Profile and Hole </t>
  </si>
  <si>
    <t>We are leaving the outside of part and the .787" hole heavy to finish after heat treat.</t>
  </si>
  <si>
    <t xml:space="preserve">Front Stays Front / .3" Out of vise after decking </t>
  </si>
  <si>
    <t>1.5"</t>
  </si>
  <si>
    <t>4 min</t>
  </si>
  <si>
    <t>8 min</t>
  </si>
  <si>
    <t>13 min</t>
  </si>
  <si>
    <r>
      <t xml:space="preserve">Left Edge </t>
    </r>
    <r>
      <rPr>
        <sz val="11"/>
        <color rgb="FFFF0000"/>
        <rFont val="Calibri"/>
        <family val="2"/>
        <scheme val="minor"/>
      </rPr>
      <t>(SEE NOTE)</t>
    </r>
  </si>
  <si>
    <r>
      <t xml:space="preserve">Back Edge </t>
    </r>
    <r>
      <rPr>
        <sz val="11"/>
        <color rgb="FFFF0000"/>
        <rFont val="Calibri"/>
        <family val="2"/>
        <scheme val="minor"/>
      </rPr>
      <t>(SEE NOTE)</t>
    </r>
  </si>
  <si>
    <t>Top after decking to .02" heavy</t>
  </si>
  <si>
    <t>SEE NOTE!</t>
  </si>
  <si>
    <t>Orient as shown / Atleast .25" out of vise</t>
  </si>
  <si>
    <t>.500" Solid Bull Endmill</t>
  </si>
  <si>
    <t>2 min</t>
  </si>
  <si>
    <t>25 min</t>
  </si>
  <si>
    <t>in tool bin</t>
  </si>
  <si>
    <t>SEE NOTE</t>
  </si>
  <si>
    <t>Front stays front / Atleast 2.5" out of vise</t>
  </si>
  <si>
    <t>54 min</t>
  </si>
  <si>
    <t xml:space="preserve">Milling </t>
  </si>
  <si>
    <t xml:space="preserve">Heat Treat </t>
  </si>
  <si>
    <t>SEND TO HEAT TREAT</t>
  </si>
  <si>
    <t xml:space="preserve">Post Heat treat side 1 finish </t>
  </si>
  <si>
    <t>E-TK-3424-045</t>
  </si>
  <si>
    <t>11 min</t>
  </si>
  <si>
    <t>36 min</t>
  </si>
  <si>
    <t>18 min</t>
  </si>
  <si>
    <t>1.25 hrs</t>
  </si>
  <si>
    <t>We are cutting holes to size before heat treat so be sure to measure them!</t>
  </si>
  <si>
    <t>We are cutting the holes to size before heat treat so measure them!</t>
  </si>
  <si>
    <r>
      <t xml:space="preserve">Right Edge </t>
    </r>
    <r>
      <rPr>
        <sz val="11"/>
        <color rgb="FFFF0000"/>
        <rFont val="Calibri"/>
        <family val="2"/>
        <scheme val="minor"/>
      </rPr>
      <t>SEE NOTE</t>
    </r>
  </si>
  <si>
    <r>
      <t xml:space="preserve">Top Edge </t>
    </r>
    <r>
      <rPr>
        <sz val="11"/>
        <color rgb="FFFF0000"/>
        <rFont val="Calibri"/>
        <family val="2"/>
        <scheme val="minor"/>
      </rPr>
      <t>SEE NOTE</t>
    </r>
  </si>
  <si>
    <t xml:space="preserve">Top after decking half of stock </t>
  </si>
  <si>
    <t>Orient as shown / Atleast 1.65" out of vise</t>
  </si>
  <si>
    <t xml:space="preserve">Post heat treat side 2 finish </t>
  </si>
  <si>
    <t>F-TK-3424-045</t>
  </si>
  <si>
    <r>
      <t xml:space="preserve">Left Edge </t>
    </r>
    <r>
      <rPr>
        <sz val="11"/>
        <color rgb="FFFF0000"/>
        <rFont val="Calibri"/>
        <family val="2"/>
        <scheme val="minor"/>
      </rPr>
      <t>SEE NOTE</t>
    </r>
  </si>
  <si>
    <t>Front stays front / Atleast .5" out of vise</t>
  </si>
  <si>
    <t>2.5 hrs</t>
  </si>
  <si>
    <t>12.25 hrs</t>
  </si>
  <si>
    <t>.705" Iscar Sumocham Drill</t>
  </si>
  <si>
    <t>10 min</t>
  </si>
  <si>
    <t>DIM7COMP-DRY</t>
  </si>
  <si>
    <t>DIM7COMP-001</t>
  </si>
  <si>
    <t>DIM7COMP-002</t>
  </si>
  <si>
    <t>DIM7COMP-003</t>
  </si>
  <si>
    <t>DIM7COMP-004</t>
  </si>
  <si>
    <t>.499" Solid Garr Bull Endmill</t>
  </si>
  <si>
    <t>.03r</t>
  </si>
  <si>
    <t>3 min</t>
  </si>
  <si>
    <t>.360" Solid Garr Bull Endmill</t>
  </si>
  <si>
    <t>2.2"</t>
  </si>
  <si>
    <t>2.25 hrs</t>
  </si>
  <si>
    <t>.5 hrs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</si>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</sst>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84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0" fillId="4" borderId="0" xfId="0" applyFill="1"/>
    <xf numFmtId="0" fontId="3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0" fillId="4" borderId="0" xfId="0" applyFill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16" fontId="0" fillId="3" borderId="16" xfId="0" applyNumberForma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47" xfId="0" applyFont="1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3" borderId="22" xfId="0" applyFill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3" borderId="42" xfId="0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54" xfId="0" applyFill="1" applyBorder="1" applyAlignment="1" applyProtection="1">
      <alignment horizontal="center" vertical="center"/>
      <protection locked="0"/>
    </xf>
    <xf numFmtId="0" fontId="0" fillId="3" borderId="58" xfId="0" applyFill="1" applyBorder="1" applyAlignment="1" applyProtection="1">
      <alignment horizontal="center" vertical="center"/>
      <protection locked="0"/>
    </xf>
    <xf numFmtId="0" fontId="2" fillId="2" borderId="14" xfId="0" applyFont="1" applyFill="1" applyBorder="1"/>
    <xf numFmtId="0" fontId="2" fillId="2" borderId="10" xfId="0" applyFont="1" applyFill="1" applyBorder="1"/>
    <xf numFmtId="0" fontId="0" fillId="3" borderId="6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1" fillId="3" borderId="15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11" fillId="3" borderId="12" xfId="0" applyFont="1" applyFill="1" applyBorder="1" applyAlignment="1">
      <alignment horizontal="center" vertical="center"/>
    </xf>
    <xf numFmtId="0" fontId="11" fillId="3" borderId="25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1" xfId="0" applyFill="1" applyBorder="1" applyAlignment="1">
      <alignment horizontal="center"/>
    </xf>
    <xf numFmtId="0" fontId="0" fillId="4" borderId="11" xfId="0" applyFill="1" applyBorder="1" applyAlignment="1">
      <alignment horizontal="right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14" fontId="3" fillId="4" borderId="25" xfId="0" applyNumberFormat="1" applyFont="1" applyFill="1" applyBorder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4" fontId="3" fillId="4" borderId="33" xfId="0" applyNumberFormat="1" applyFont="1" applyFill="1" applyBorder="1" applyAlignment="1">
      <alignment horizontal="center" vertical="center"/>
    </xf>
    <xf numFmtId="0" fontId="10" fillId="4" borderId="2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33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top"/>
    </xf>
    <xf numFmtId="0" fontId="8" fillId="4" borderId="0" xfId="0" applyFont="1" applyFill="1" applyAlignment="1">
      <alignment horizontal="center" vertical="top"/>
    </xf>
    <xf numFmtId="0" fontId="8" fillId="4" borderId="33" xfId="0" applyFont="1" applyFill="1" applyBorder="1" applyAlignment="1">
      <alignment horizontal="center" vertical="top"/>
    </xf>
    <xf numFmtId="0" fontId="8" fillId="4" borderId="34" xfId="0" applyFont="1" applyFill="1" applyBorder="1" applyAlignment="1">
      <alignment horizontal="center" vertical="top"/>
    </xf>
    <xf numFmtId="0" fontId="8" fillId="4" borderId="13" xfId="0" applyFont="1" applyFill="1" applyBorder="1" applyAlignment="1">
      <alignment horizontal="center" vertical="top"/>
    </xf>
    <xf numFmtId="0" fontId="8" fillId="4" borderId="35" xfId="0" applyFont="1" applyFill="1" applyBorder="1" applyAlignment="1">
      <alignment horizontal="center" vertical="top"/>
    </xf>
    <xf numFmtId="0" fontId="0" fillId="4" borderId="25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33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2" fillId="5" borderId="40" xfId="0" applyFont="1" applyFill="1" applyBorder="1" applyAlignment="1">
      <alignment horizontal="center"/>
    </xf>
    <xf numFmtId="0" fontId="2" fillId="5" borderId="39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2" fillId="5" borderId="41" xfId="0" applyFont="1" applyFill="1" applyBorder="1" applyAlignment="1">
      <alignment horizontal="center"/>
    </xf>
    <xf numFmtId="0" fontId="12" fillId="0" borderId="2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33" xfId="0" applyFont="1" applyBorder="1" applyAlignment="1" applyProtection="1">
      <alignment horizontal="center" vertical="center" wrapText="1"/>
      <protection locked="0"/>
    </xf>
    <xf numFmtId="0" fontId="12" fillId="0" borderId="34" xfId="0" applyFont="1" applyBorder="1" applyAlignment="1" applyProtection="1">
      <alignment horizontal="center" vertical="center" wrapText="1"/>
      <protection locked="0"/>
    </xf>
    <xf numFmtId="0" fontId="12" fillId="0" borderId="13" xfId="0" applyFont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 applyProtection="1">
      <alignment horizontal="center" vertical="center" wrapText="1"/>
      <protection locked="0"/>
    </xf>
    <xf numFmtId="0" fontId="2" fillId="6" borderId="14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10" xfId="0" applyFont="1" applyFill="1" applyBorder="1" applyAlignment="1" applyProtection="1">
      <alignment horizontal="center"/>
      <protection locked="0"/>
    </xf>
    <xf numFmtId="0" fontId="13" fillId="0" borderId="25" xfId="0" applyFont="1" applyBorder="1" applyAlignment="1" applyProtection="1">
      <alignment horizontal="center" vertical="center" wrapText="1"/>
      <protection locked="0"/>
    </xf>
    <xf numFmtId="0" fontId="13" fillId="0" borderId="33" xfId="0" applyFont="1" applyBorder="1" applyAlignment="1" applyProtection="1">
      <alignment horizontal="center" vertical="center" wrapText="1"/>
      <protection locked="0"/>
    </xf>
    <xf numFmtId="0" fontId="13" fillId="0" borderId="34" xfId="0" applyFont="1" applyBorder="1" applyAlignment="1" applyProtection="1">
      <alignment horizontal="center" vertical="center" wrapText="1"/>
      <protection locked="0"/>
    </xf>
    <xf numFmtId="0" fontId="13" fillId="0" borderId="35" xfId="0" applyFont="1" applyBorder="1" applyAlignment="1" applyProtection="1">
      <alignment horizontal="center" vertical="center" wrapText="1"/>
      <protection locked="0"/>
    </xf>
    <xf numFmtId="0" fontId="3" fillId="0" borderId="38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0" fillId="3" borderId="37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5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4" xfId="0" applyFill="1" applyBorder="1" applyAlignment="1" applyProtection="1">
      <alignment horizontal="center" vertic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22" xfId="0" applyFill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3" borderId="58" xfId="0" applyFill="1" applyBorder="1" applyAlignment="1" applyProtection="1">
      <alignment horizontal="center" vertical="center"/>
      <protection locked="0"/>
    </xf>
    <xf numFmtId="0" fontId="0" fillId="3" borderId="59" xfId="0" applyFill="1" applyBorder="1" applyAlignment="1" applyProtection="1">
      <alignment horizontal="center" vertical="center"/>
      <protection locked="0"/>
    </xf>
    <xf numFmtId="0" fontId="0" fillId="3" borderId="60" xfId="0" applyFill="1" applyBorder="1" applyAlignment="1" applyProtection="1">
      <alignment horizontal="center" vertical="center"/>
      <protection locked="0"/>
    </xf>
    <xf numFmtId="0" fontId="0" fillId="3" borderId="61" xfId="0" applyFill="1" applyBorder="1" applyAlignment="1" applyProtection="1">
      <alignment horizontal="center" vertical="center"/>
      <protection locked="0"/>
    </xf>
    <xf numFmtId="0" fontId="2" fillId="6" borderId="50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3" fillId="0" borderId="5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3" borderId="18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3" fillId="0" borderId="18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0" fillId="3" borderId="19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2" fillId="2" borderId="14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0" borderId="21" xfId="0" applyBorder="1" applyAlignment="1" applyProtection="1">
      <alignment horizontal="center" vertical="center"/>
      <protection locked="0"/>
    </xf>
    <xf numFmtId="0" fontId="2" fillId="6" borderId="14" xfId="0" applyFont="1" applyFill="1" applyBorder="1" applyAlignment="1">
      <alignment horizontal="center"/>
    </xf>
    <xf numFmtId="0" fontId="5" fillId="4" borderId="2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33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35" xfId="0" applyFon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19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/>
    </xf>
    <xf numFmtId="0" fontId="0" fillId="4" borderId="0" xfId="0" applyFill="1" applyAlignment="1">
      <alignment horizontal="left"/>
    </xf>
    <xf numFmtId="0" fontId="0" fillId="3" borderId="20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0" xfId="0" applyFill="1" applyBorder="1" applyAlignment="1" applyProtection="1">
      <alignment horizontal="center" vertical="center"/>
      <protection locked="0"/>
    </xf>
    <xf numFmtId="0" fontId="0" fillId="3" borderId="21" xfId="0" applyFill="1" applyBorder="1" applyAlignment="1" applyProtection="1">
      <alignment horizontal="center" vertical="center"/>
      <protection locked="0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0" borderId="35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3" borderId="55" xfId="0" applyFill="1" applyBorder="1" applyAlignment="1" applyProtection="1">
      <alignment horizontal="center" vertical="center"/>
      <protection locked="0"/>
    </xf>
    <xf numFmtId="0" fontId="0" fillId="3" borderId="56" xfId="0" applyFill="1" applyBorder="1" applyAlignment="1" applyProtection="1">
      <alignment horizontal="center" vertical="center"/>
      <protection locked="0"/>
    </xf>
    <xf numFmtId="0" fontId="0" fillId="3" borderId="57" xfId="0" applyFill="1" applyBorder="1" applyAlignment="1" applyProtection="1">
      <alignment horizontal="center" vertical="center"/>
      <protection locked="0"/>
    </xf>
    <xf numFmtId="0" fontId="14" fillId="3" borderId="18" xfId="0" applyFont="1" applyFill="1" applyBorder="1" applyAlignment="1" applyProtection="1">
      <alignment horizontal="center" vertical="center"/>
      <protection locked="0"/>
    </xf>
    <xf numFmtId="0" fontId="1" fillId="6" borderId="41" xfId="0" applyFont="1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1" fillId="6" borderId="36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/>
    </xf>
    <xf numFmtId="0" fontId="2" fillId="2" borderId="56" xfId="0" applyFont="1" applyFill="1" applyBorder="1" applyAlignment="1">
      <alignment horizontal="center"/>
    </xf>
    <xf numFmtId="0" fontId="2" fillId="2" borderId="57" xfId="0" applyFont="1" applyFill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2" fillId="2" borderId="65" xfId="0" applyFont="1" applyFill="1" applyBorder="1" applyAlignment="1">
      <alignment horizontal="center"/>
    </xf>
    <xf numFmtId="0" fontId="2" fillId="2" borderId="64" xfId="0" applyFont="1" applyFill="1" applyBorder="1" applyAlignment="1">
      <alignment horizontal="center"/>
    </xf>
    <xf numFmtId="0" fontId="2" fillId="2" borderId="63" xfId="0" applyFont="1" applyFill="1" applyBorder="1" applyAlignment="1">
      <alignment horizontal="center"/>
    </xf>
    <xf numFmtId="0" fontId="15" fillId="0" borderId="37" xfId="0" applyFont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2" borderId="3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36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 wrapText="1"/>
    </xf>
    <xf numFmtId="0" fontId="0" fillId="0" borderId="66" xfId="0" applyBorder="1" applyAlignment="1" applyProtection="1">
      <alignment horizontal="center" vertical="center"/>
      <protection locked="0"/>
    </xf>
    <xf numFmtId="0" fontId="0" fillId="3" borderId="2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1" fillId="2" borderId="1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52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18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0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2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22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142874</xdr:colOff>
      <xdr:row>15</xdr:row>
      <xdr:rowOff>133350</xdr:rowOff>
    </xdr:from>
    <xdr:to>
      <xdr:col>9</xdr:col>
      <xdr:colOff>208288</xdr:colOff>
      <xdr:row>38</xdr:row>
      <xdr:rowOff>48141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FF561D-B246-3DBD-2C5C-01F870D85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9149" y="3009900"/>
          <a:ext cx="5237489" cy="4296291"/>
        </a:xfrm>
        <a:prstGeom prst="rect">
          <a:avLst/>
        </a:prstGeom>
      </xdr:spPr>
    </xdr:pic>
    <xdr:clientData/>
  </xdr:twoCellAnchor>
  <xdr:twoCellAnchor editAs="oneCell">
    <xdr:from>
      <xdr:col>14</xdr:col>
      <xdr:colOff>228600</xdr:colOff>
      <xdr:row>17</xdr:row>
      <xdr:rowOff>142875</xdr:rowOff>
    </xdr:from>
    <xdr:to>
      <xdr:col>22</xdr:col>
      <xdr:colOff>124544</xdr:colOff>
      <xdr:row>35</xdr:row>
      <xdr:rowOff>57617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B563FC8-A35D-948F-8AA5-F7B3B380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8800" y="3400425"/>
          <a:ext cx="5153744" cy="33437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111377</xdr:colOff>
      <xdr:row>0</xdr:row>
      <xdr:rowOff>13145</xdr:rowOff>
    </xdr:from>
    <xdr:to>
      <xdr:col>24</xdr:col>
      <xdr:colOff>566655</xdr:colOff>
      <xdr:row>12</xdr:row>
      <xdr:rowOff>167049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31280-4DF6-467F-AADE-98A241676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6602" y="13145"/>
          <a:ext cx="1112503" cy="2458954"/>
        </a:xfrm>
        <a:prstGeom prst="rect">
          <a:avLst/>
        </a:prstGeom>
      </xdr:spPr>
    </xdr:pic>
    <xdr:clientData/>
  </xdr:twoCellAnchor>
  <xdr:twoCellAnchor>
    <xdr:from>
      <xdr:col>24</xdr:col>
      <xdr:colOff>638665</xdr:colOff>
      <xdr:row>0</xdr:row>
      <xdr:rowOff>2</xdr:rowOff>
    </xdr:from>
    <xdr:to>
      <xdr:col>26</xdr:col>
      <xdr:colOff>395011</xdr:colOff>
      <xdr:row>12</xdr:row>
      <xdr:rowOff>148691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77CD862-F165-4886-92EA-735F975E6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31115" y="2"/>
          <a:ext cx="1137471" cy="2453739"/>
        </a:xfrm>
        <a:prstGeom prst="rect">
          <a:avLst/>
        </a:prstGeom>
      </xdr:spPr>
    </xdr:pic>
    <xdr:clientData/>
  </xdr:twoCellAnchor>
  <xdr:twoCellAnchor>
    <xdr:from>
      <xdr:col>26</xdr:col>
      <xdr:colOff>456773</xdr:colOff>
      <xdr:row>9</xdr:row>
      <xdr:rowOff>49548</xdr:rowOff>
    </xdr:from>
    <xdr:to>
      <xdr:col>27</xdr:col>
      <xdr:colOff>97558</xdr:colOff>
      <xdr:row>12</xdr:row>
      <xdr:rowOff>47746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CC14CD4-8027-4D00-846A-078790D09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0348" y="1773573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174476</xdr:colOff>
      <xdr:row>9</xdr:row>
      <xdr:rowOff>43706</xdr:rowOff>
    </xdr:from>
    <xdr:to>
      <xdr:col>27</xdr:col>
      <xdr:colOff>477167</xdr:colOff>
      <xdr:row>12</xdr:row>
      <xdr:rowOff>41904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588C1DF-AD98-4C76-9618-B04982B24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5276" y="1767731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168125</xdr:colOff>
      <xdr:row>6</xdr:row>
      <xdr:rowOff>63998</xdr:rowOff>
    </xdr:from>
    <xdr:to>
      <xdr:col>27</xdr:col>
      <xdr:colOff>470816</xdr:colOff>
      <xdr:row>9</xdr:row>
      <xdr:rowOff>62196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EC51007-3223-4559-A887-4EB990FBE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8925" y="1206998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161775</xdr:colOff>
      <xdr:row>3</xdr:row>
      <xdr:rowOff>28104</xdr:rowOff>
    </xdr:from>
    <xdr:to>
      <xdr:col>27</xdr:col>
      <xdr:colOff>464466</xdr:colOff>
      <xdr:row>6</xdr:row>
      <xdr:rowOff>16777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378C9B9-386B-4073-8047-7411A6329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2575" y="580554"/>
          <a:ext cx="302691" cy="579223"/>
        </a:xfrm>
        <a:prstGeom prst="rect">
          <a:avLst/>
        </a:prstGeom>
      </xdr:spPr>
    </xdr:pic>
    <xdr:clientData/>
  </xdr:twoCellAnchor>
  <xdr:twoCellAnchor>
    <xdr:from>
      <xdr:col>26</xdr:col>
      <xdr:colOff>486935</xdr:colOff>
      <xdr:row>3</xdr:row>
      <xdr:rowOff>29563</xdr:rowOff>
    </xdr:from>
    <xdr:to>
      <xdr:col>27</xdr:col>
      <xdr:colOff>127720</xdr:colOff>
      <xdr:row>6</xdr:row>
      <xdr:rowOff>18236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729E97D-663A-4994-9E41-67B6A3349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510" y="582013"/>
          <a:ext cx="298010" cy="579223"/>
        </a:xfrm>
        <a:prstGeom prst="rect">
          <a:avLst/>
        </a:prstGeom>
      </xdr:spPr>
    </xdr:pic>
    <xdr:clientData/>
  </xdr:twoCellAnchor>
  <xdr:twoCellAnchor>
    <xdr:from>
      <xdr:col>26</xdr:col>
      <xdr:colOff>472648</xdr:colOff>
      <xdr:row>6</xdr:row>
      <xdr:rowOff>46475</xdr:rowOff>
    </xdr:from>
    <xdr:to>
      <xdr:col>27</xdr:col>
      <xdr:colOff>113433</xdr:colOff>
      <xdr:row>9</xdr:row>
      <xdr:rowOff>44673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C31C1C2-3FA2-4873-B6A3-4141D3007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223" y="1189475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527198</xdr:colOff>
      <xdr:row>10</xdr:row>
      <xdr:rowOff>60581</xdr:rowOff>
    </xdr:from>
    <xdr:to>
      <xdr:col>28</xdr:col>
      <xdr:colOff>244344</xdr:colOff>
      <xdr:row>11</xdr:row>
      <xdr:rowOff>106620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49D8FD9-BDEC-414A-AEC6-49F04F56C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8" y="1975106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528786</xdr:colOff>
      <xdr:row>3</xdr:row>
      <xdr:rowOff>175607</xdr:rowOff>
    </xdr:from>
    <xdr:to>
      <xdr:col>28</xdr:col>
      <xdr:colOff>245932</xdr:colOff>
      <xdr:row>5</xdr:row>
      <xdr:rowOff>21621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F73D293-639A-4D58-AFDF-E0865E3C7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9586" y="728057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530373</xdr:colOff>
      <xdr:row>5</xdr:row>
      <xdr:rowOff>34784</xdr:rowOff>
    </xdr:from>
    <xdr:to>
      <xdr:col>28</xdr:col>
      <xdr:colOff>247519</xdr:colOff>
      <xdr:row>6</xdr:row>
      <xdr:rowOff>71298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D1F1AC2-3CEE-4716-877B-F083B9C11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61173" y="977759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524024</xdr:colOff>
      <xdr:row>7</xdr:row>
      <xdr:rowOff>132677</xdr:rowOff>
    </xdr:from>
    <xdr:to>
      <xdr:col>28</xdr:col>
      <xdr:colOff>241170</xdr:colOff>
      <xdr:row>8</xdr:row>
      <xdr:rowOff>178716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BE42851-6C5D-45FF-BD53-5F19DEFDE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4824" y="1475702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525612</xdr:colOff>
      <xdr:row>6</xdr:row>
      <xdr:rowOff>85920</xdr:rowOff>
    </xdr:from>
    <xdr:to>
      <xdr:col>28</xdr:col>
      <xdr:colOff>242758</xdr:colOff>
      <xdr:row>7</xdr:row>
      <xdr:rowOff>122434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500477A-ADF7-4214-89B2-A7E15C469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6412" y="1228920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527199</xdr:colOff>
      <xdr:row>9</xdr:row>
      <xdr:rowOff>2839</xdr:rowOff>
    </xdr:from>
    <xdr:to>
      <xdr:col>28</xdr:col>
      <xdr:colOff>244345</xdr:colOff>
      <xdr:row>10</xdr:row>
      <xdr:rowOff>48878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FD803D4-7489-4F8A-B67E-B0D43ECAD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9" y="1726864"/>
          <a:ext cx="374371" cy="236539"/>
        </a:xfrm>
        <a:prstGeom prst="rect">
          <a:avLst/>
        </a:prstGeom>
      </xdr:spPr>
    </xdr:pic>
    <xdr:clientData/>
  </xdr:twoCellAnchor>
  <xdr:twoCellAnchor>
    <xdr:from>
      <xdr:col>28</xdr:col>
      <xdr:colOff>474537</xdr:colOff>
      <xdr:row>0</xdr:row>
      <xdr:rowOff>27746</xdr:rowOff>
    </xdr:from>
    <xdr:to>
      <xdr:col>30</xdr:col>
      <xdr:colOff>413338</xdr:colOff>
      <xdr:row>5</xdr:row>
      <xdr:rowOff>108165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74418BD-46E0-46F3-8173-F826BEBDB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62562" y="27746"/>
          <a:ext cx="1253251" cy="1023394"/>
        </a:xfrm>
        <a:prstGeom prst="rect">
          <a:avLst/>
        </a:prstGeom>
      </xdr:spPr>
    </xdr:pic>
    <xdr:clientData/>
  </xdr:twoCellAnchor>
  <xdr:twoCellAnchor>
    <xdr:from>
      <xdr:col>30</xdr:col>
      <xdr:colOff>478427</xdr:colOff>
      <xdr:row>0</xdr:row>
      <xdr:rowOff>29207</xdr:rowOff>
    </xdr:from>
    <xdr:to>
      <xdr:col>32</xdr:col>
      <xdr:colOff>422896</xdr:colOff>
      <xdr:row>5</xdr:row>
      <xdr:rowOff>109626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8C208C6-0C6D-47AE-9019-655C202FF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280902" y="29207"/>
          <a:ext cx="1258919" cy="1023394"/>
        </a:xfrm>
        <a:prstGeom prst="rect">
          <a:avLst/>
        </a:prstGeom>
      </xdr:spPr>
    </xdr:pic>
    <xdr:clientData/>
  </xdr:twoCellAnchor>
  <xdr:twoCellAnchor>
    <xdr:from>
      <xdr:col>28</xdr:col>
      <xdr:colOff>450723</xdr:colOff>
      <xdr:row>7</xdr:row>
      <xdr:rowOff>72787</xdr:rowOff>
    </xdr:from>
    <xdr:to>
      <xdr:col>29</xdr:col>
      <xdr:colOff>176244</xdr:colOff>
      <xdr:row>9</xdr:row>
      <xdr:rowOff>151178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EEF79B-7949-4507-B8FC-8FCA829F0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8748" y="1415812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209249</xdr:colOff>
      <xdr:row>7</xdr:row>
      <xdr:rowOff>81549</xdr:rowOff>
    </xdr:from>
    <xdr:to>
      <xdr:col>29</xdr:col>
      <xdr:colOff>591480</xdr:colOff>
      <xdr:row>9</xdr:row>
      <xdr:rowOff>159940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A4876DB-D219-4ABA-A375-0AA263201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54499" y="1424574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632420</xdr:colOff>
      <xdr:row>7</xdr:row>
      <xdr:rowOff>75708</xdr:rowOff>
    </xdr:from>
    <xdr:to>
      <xdr:col>30</xdr:col>
      <xdr:colOff>369220</xdr:colOff>
      <xdr:row>9</xdr:row>
      <xdr:rowOff>154099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BBFE5FE9-87AD-4584-A19F-A84222A15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7670" y="1418733"/>
          <a:ext cx="394025" cy="459391"/>
        </a:xfrm>
        <a:prstGeom prst="rect">
          <a:avLst/>
        </a:prstGeom>
      </xdr:spPr>
    </xdr:pic>
    <xdr:clientData/>
  </xdr:twoCellAnchor>
  <xdr:twoCellAnchor>
    <xdr:from>
      <xdr:col>28</xdr:col>
      <xdr:colOff>444373</xdr:colOff>
      <xdr:row>9</xdr:row>
      <xdr:rowOff>189731</xdr:rowOff>
    </xdr:from>
    <xdr:to>
      <xdr:col>29</xdr:col>
      <xdr:colOff>169894</xdr:colOff>
      <xdr:row>12</xdr:row>
      <xdr:rowOff>68097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E168292-93B6-4961-8C84-753C0CCA4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2398" y="1913756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202899</xdr:colOff>
      <xdr:row>10</xdr:row>
      <xdr:rowOff>7992</xdr:rowOff>
    </xdr:from>
    <xdr:to>
      <xdr:col>29</xdr:col>
      <xdr:colOff>585130</xdr:colOff>
      <xdr:row>12</xdr:row>
      <xdr:rowOff>76858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37955E1F-6132-4E0B-BB29-91B66DF69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48149" y="1922517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626070</xdr:colOff>
      <xdr:row>10</xdr:row>
      <xdr:rowOff>2152</xdr:rowOff>
    </xdr:from>
    <xdr:to>
      <xdr:col>30</xdr:col>
      <xdr:colOff>362870</xdr:colOff>
      <xdr:row>12</xdr:row>
      <xdr:rowOff>71018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219EE70E-6381-47E4-AD72-3F87B3194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1320" y="1916677"/>
          <a:ext cx="394025" cy="459391"/>
        </a:xfrm>
        <a:prstGeom prst="rect">
          <a:avLst/>
        </a:prstGeom>
      </xdr:spPr>
    </xdr:pic>
    <xdr:clientData/>
  </xdr:twoCellAnchor>
  <xdr:twoCellAnchor>
    <xdr:from>
      <xdr:col>31</xdr:col>
      <xdr:colOff>80696</xdr:colOff>
      <xdr:row>7</xdr:row>
      <xdr:rowOff>69795</xdr:rowOff>
    </xdr:from>
    <xdr:to>
      <xdr:col>33</xdr:col>
      <xdr:colOff>122687</xdr:colOff>
      <xdr:row>8</xdr:row>
      <xdr:rowOff>79421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468BDF3-D8C3-4D3D-A191-79CA9D9FBA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0396" y="1412820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74346</xdr:colOff>
      <xdr:row>8</xdr:row>
      <xdr:rowOff>107093</xdr:rowOff>
    </xdr:from>
    <xdr:to>
      <xdr:col>33</xdr:col>
      <xdr:colOff>116337</xdr:colOff>
      <xdr:row>9</xdr:row>
      <xdr:rowOff>116719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55F1AE0-39A5-4F18-966B-27D4F22B59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4046" y="1640618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83871</xdr:colOff>
      <xdr:row>9</xdr:row>
      <xdr:rowOff>137090</xdr:rowOff>
    </xdr:from>
    <xdr:to>
      <xdr:col>33</xdr:col>
      <xdr:colOff>125862</xdr:colOff>
      <xdr:row>10</xdr:row>
      <xdr:rowOff>146716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821DB4D9-FCFC-405C-AEDA-4ED731A81E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3571" y="1861115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77521</xdr:colOff>
      <xdr:row>10</xdr:row>
      <xdr:rowOff>167088</xdr:rowOff>
    </xdr:from>
    <xdr:to>
      <xdr:col>33</xdr:col>
      <xdr:colOff>119512</xdr:colOff>
      <xdr:row>11</xdr:row>
      <xdr:rowOff>176714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C48B07E9-BFFC-464F-84CB-94B73AF8BF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7221" y="2081613"/>
          <a:ext cx="1356441" cy="200126"/>
        </a:xfrm>
        <a:prstGeom prst="rect">
          <a:avLst/>
        </a:prstGeom>
      </xdr:spPr>
    </xdr:pic>
    <xdr:clientData/>
  </xdr:twoCellAnchor>
  <xdr:twoCellAnchor>
    <xdr:from>
      <xdr:col>29</xdr:col>
      <xdr:colOff>136222</xdr:colOff>
      <xdr:row>13</xdr:row>
      <xdr:rowOff>181728</xdr:rowOff>
    </xdr:from>
    <xdr:to>
      <xdr:col>32</xdr:col>
      <xdr:colOff>514975</xdr:colOff>
      <xdr:row>21</xdr:row>
      <xdr:rowOff>95692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307DBCFE-7456-4901-A9A5-C70B1A508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281472" y="2686803"/>
          <a:ext cx="2350428" cy="1476064"/>
        </a:xfrm>
        <a:prstGeom prst="rect">
          <a:avLst/>
        </a:prstGeom>
      </xdr:spPr>
    </xdr:pic>
    <xdr:clientData/>
  </xdr:twoCellAnchor>
  <xdr:twoCellAnchor>
    <xdr:from>
      <xdr:col>27</xdr:col>
      <xdr:colOff>7356</xdr:colOff>
      <xdr:row>13</xdr:row>
      <xdr:rowOff>7500</xdr:rowOff>
    </xdr:from>
    <xdr:to>
      <xdr:col>29</xdr:col>
      <xdr:colOff>154391</xdr:colOff>
      <xdr:row>28</xdr:row>
      <xdr:rowOff>23540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674F7726-2F05-47A6-B2A4-8B2AE3E0B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838156" y="2512575"/>
          <a:ext cx="1461485" cy="2940215"/>
        </a:xfrm>
        <a:prstGeom prst="rect">
          <a:avLst/>
        </a:prstGeom>
      </xdr:spPr>
    </xdr:pic>
    <xdr:clientData/>
  </xdr:twoCellAnchor>
  <xdr:twoCellAnchor>
    <xdr:from>
      <xdr:col>23</xdr:col>
      <xdr:colOff>121606</xdr:colOff>
      <xdr:row>13</xdr:row>
      <xdr:rowOff>47154</xdr:rowOff>
    </xdr:from>
    <xdr:to>
      <xdr:col>27</xdr:col>
      <xdr:colOff>37960</xdr:colOff>
      <xdr:row>28</xdr:row>
      <xdr:rowOff>16188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5F296982-0E09-4FB7-8784-749264B19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256831" y="2552229"/>
          <a:ext cx="2611929" cy="2893209"/>
        </a:xfrm>
        <a:prstGeom prst="rect">
          <a:avLst/>
        </a:prstGeom>
      </xdr:spPr>
    </xdr:pic>
    <xdr:clientData/>
  </xdr:twoCellAnchor>
  <xdr:twoCellAnchor>
    <xdr:from>
      <xdr:col>23</xdr:col>
      <xdr:colOff>177171</xdr:colOff>
      <xdr:row>32</xdr:row>
      <xdr:rowOff>84602</xdr:rowOff>
    </xdr:from>
    <xdr:to>
      <xdr:col>25</xdr:col>
      <xdr:colOff>474283</xdr:colOff>
      <xdr:row>36</xdr:row>
      <xdr:rowOff>134498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4A3ACE8F-6BAC-4A16-A4B4-9E61347DD7A1}"/>
            </a:ext>
          </a:extLst>
        </xdr:cNvPr>
        <xdr:cNvSpPr/>
      </xdr:nvSpPr>
      <xdr:spPr>
        <a:xfrm>
          <a:off x="15312396" y="6275852"/>
          <a:ext cx="1611562" cy="811896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Note Box</a:t>
          </a:r>
        </a:p>
      </xdr:txBody>
    </xdr:sp>
    <xdr:clientData/>
  </xdr:twoCellAnchor>
  <xdr:twoCellAnchor>
    <xdr:from>
      <xdr:col>23</xdr:col>
      <xdr:colOff>505606</xdr:colOff>
      <xdr:row>31</xdr:row>
      <xdr:rowOff>121777</xdr:rowOff>
    </xdr:from>
    <xdr:to>
      <xdr:col>24</xdr:col>
      <xdr:colOff>341590</xdr:colOff>
      <xdr:row>31</xdr:row>
      <xdr:rowOff>121778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64C70DF-318A-4393-BAC5-8A8E14F97F26}"/>
            </a:ext>
          </a:extLst>
        </xdr:cNvPr>
        <xdr:cNvCxnSpPr/>
      </xdr:nvCxnSpPr>
      <xdr:spPr>
        <a:xfrm flipV="1">
          <a:off x="15640831" y="6122527"/>
          <a:ext cx="493209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590358</xdr:colOff>
      <xdr:row>34</xdr:row>
      <xdr:rowOff>46761</xdr:rowOff>
    </xdr:from>
    <xdr:to>
      <xdr:col>26</xdr:col>
      <xdr:colOff>319175</xdr:colOff>
      <xdr:row>36</xdr:row>
      <xdr:rowOff>97993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14797486-6C07-4E0A-9032-4A1C508B204E}"/>
            </a:ext>
          </a:extLst>
        </xdr:cNvPr>
        <xdr:cNvSpPr/>
      </xdr:nvSpPr>
      <xdr:spPr>
        <a:xfrm>
          <a:off x="17040033" y="6619011"/>
          <a:ext cx="452717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416016</xdr:colOff>
      <xdr:row>34</xdr:row>
      <xdr:rowOff>62820</xdr:rowOff>
    </xdr:from>
    <xdr:to>
      <xdr:col>27</xdr:col>
      <xdr:colOff>216454</xdr:colOff>
      <xdr:row>36</xdr:row>
      <xdr:rowOff>114052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44B6D26F-0E32-4E7C-991E-0A5126848ED0}"/>
            </a:ext>
          </a:extLst>
        </xdr:cNvPr>
        <xdr:cNvSpPr/>
      </xdr:nvSpPr>
      <xdr:spPr>
        <a:xfrm>
          <a:off x="17589591" y="6635070"/>
          <a:ext cx="457663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584009</xdr:colOff>
      <xdr:row>31</xdr:row>
      <xdr:rowOff>101335</xdr:rowOff>
    </xdr:from>
    <xdr:to>
      <xdr:col>26</xdr:col>
      <xdr:colOff>312826</xdr:colOff>
      <xdr:row>33</xdr:row>
      <xdr:rowOff>143806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A33148F6-82DD-4E1C-A0BD-E2F100F6C354}"/>
            </a:ext>
          </a:extLst>
        </xdr:cNvPr>
        <xdr:cNvSpPr/>
      </xdr:nvSpPr>
      <xdr:spPr>
        <a:xfrm>
          <a:off x="17033684" y="6102085"/>
          <a:ext cx="452717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409665</xdr:colOff>
      <xdr:row>31</xdr:row>
      <xdr:rowOff>95495</xdr:rowOff>
    </xdr:from>
    <xdr:to>
      <xdr:col>27</xdr:col>
      <xdr:colOff>210103</xdr:colOff>
      <xdr:row>33</xdr:row>
      <xdr:rowOff>137966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1C565969-1191-4C74-957E-08E5FF6D8158}"/>
            </a:ext>
          </a:extLst>
        </xdr:cNvPr>
        <xdr:cNvSpPr/>
      </xdr:nvSpPr>
      <xdr:spPr>
        <a:xfrm>
          <a:off x="17583240" y="6096245"/>
          <a:ext cx="457663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577658</xdr:colOff>
      <xdr:row>28</xdr:row>
      <xdr:rowOff>163209</xdr:rowOff>
    </xdr:from>
    <xdr:to>
      <xdr:col>26</xdr:col>
      <xdr:colOff>306475</xdr:colOff>
      <xdr:row>31</xdr:row>
      <xdr:rowOff>15180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CDE2641C-FD7A-4728-B9DC-3755E3CFBF2D}"/>
            </a:ext>
          </a:extLst>
        </xdr:cNvPr>
        <xdr:cNvSpPr/>
      </xdr:nvSpPr>
      <xdr:spPr>
        <a:xfrm>
          <a:off x="17027333" y="5592459"/>
          <a:ext cx="452717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395377</xdr:colOff>
      <xdr:row>28</xdr:row>
      <xdr:rowOff>150064</xdr:rowOff>
    </xdr:from>
    <xdr:to>
      <xdr:col>27</xdr:col>
      <xdr:colOff>195815</xdr:colOff>
      <xdr:row>31</xdr:row>
      <xdr:rowOff>2035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2325FDEC-F165-4399-80DD-605B96FF6066}"/>
            </a:ext>
          </a:extLst>
        </xdr:cNvPr>
        <xdr:cNvSpPr/>
      </xdr:nvSpPr>
      <xdr:spPr>
        <a:xfrm>
          <a:off x="17568952" y="5579314"/>
          <a:ext cx="457663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382867</xdr:colOff>
      <xdr:row>31</xdr:row>
      <xdr:rowOff>123237</xdr:rowOff>
    </xdr:from>
    <xdr:to>
      <xdr:col>25</xdr:col>
      <xdr:colOff>245676</xdr:colOff>
      <xdr:row>31</xdr:row>
      <xdr:rowOff>123238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EF1977B9-1C5C-4D31-BACB-496A0A2DC868}"/>
            </a:ext>
          </a:extLst>
        </xdr:cNvPr>
        <xdr:cNvCxnSpPr/>
      </xdr:nvCxnSpPr>
      <xdr:spPr>
        <a:xfrm flipV="1">
          <a:off x="16175317" y="6123987"/>
          <a:ext cx="520034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507193</xdr:colOff>
      <xdr:row>30</xdr:row>
      <xdr:rowOff>80094</xdr:rowOff>
    </xdr:from>
    <xdr:to>
      <xdr:col>24</xdr:col>
      <xdr:colOff>343177</xdr:colOff>
      <xdr:row>30</xdr:row>
      <xdr:rowOff>80095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57CD8C05-8138-4AED-9779-BD510E637CAC}"/>
            </a:ext>
          </a:extLst>
        </xdr:cNvPr>
        <xdr:cNvCxnSpPr/>
      </xdr:nvCxnSpPr>
      <xdr:spPr>
        <a:xfrm flipV="1">
          <a:off x="15642418" y="5890344"/>
          <a:ext cx="493209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384454</xdr:colOff>
      <xdr:row>30</xdr:row>
      <xdr:rowOff>81556</xdr:rowOff>
    </xdr:from>
    <xdr:to>
      <xdr:col>25</xdr:col>
      <xdr:colOff>247263</xdr:colOff>
      <xdr:row>30</xdr:row>
      <xdr:rowOff>81557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84E6E4A6-D7C1-48E5-95E4-1C1B71506AB8}"/>
            </a:ext>
          </a:extLst>
        </xdr:cNvPr>
        <xdr:cNvCxnSpPr/>
      </xdr:nvCxnSpPr>
      <xdr:spPr>
        <a:xfrm flipV="1">
          <a:off x="16176904" y="5891806"/>
          <a:ext cx="520034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495173</xdr:colOff>
      <xdr:row>29</xdr:row>
      <xdr:rowOff>31114</xdr:rowOff>
    </xdr:from>
    <xdr:to>
      <xdr:col>24</xdr:col>
      <xdr:colOff>344764</xdr:colOff>
      <xdr:row>29</xdr:row>
      <xdr:rowOff>31115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6A213B64-9B96-4CAD-B840-82E892E297A0}"/>
            </a:ext>
          </a:extLst>
        </xdr:cNvPr>
        <xdr:cNvCxnSpPr/>
      </xdr:nvCxnSpPr>
      <xdr:spPr>
        <a:xfrm flipV="1">
          <a:off x="15630398" y="5650864"/>
          <a:ext cx="506816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386042</xdr:colOff>
      <xdr:row>29</xdr:row>
      <xdr:rowOff>32576</xdr:rowOff>
    </xdr:from>
    <xdr:to>
      <xdr:col>25</xdr:col>
      <xdr:colOff>248851</xdr:colOff>
      <xdr:row>29</xdr:row>
      <xdr:rowOff>32577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9E04039D-6CAF-4F6F-820F-99DD64304530}"/>
            </a:ext>
          </a:extLst>
        </xdr:cNvPr>
        <xdr:cNvCxnSpPr/>
      </xdr:nvCxnSpPr>
      <xdr:spPr>
        <a:xfrm flipV="1">
          <a:off x="16178492" y="5652326"/>
          <a:ext cx="520034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88679</xdr:colOff>
      <xdr:row>45</xdr:row>
      <xdr:rowOff>9525</xdr:rowOff>
    </xdr:from>
    <xdr:to>
      <xdr:col>22</xdr:col>
      <xdr:colOff>558165</xdr:colOff>
      <xdr:row>50</xdr:row>
      <xdr:rowOff>166275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3691A13-156A-EE78-67B6-23BAC3535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903213" y="8654284"/>
          <a:ext cx="1126383" cy="1122388"/>
        </a:xfrm>
        <a:prstGeom prst="rect">
          <a:avLst/>
        </a:prstGeom>
      </xdr:spPr>
    </xdr:pic>
    <xdr:clientData/>
  </xdr:twoCellAnchor>
  <xdr:twoCellAnchor editAs="oneCell">
    <xdr:from>
      <xdr:col>19</xdr:col>
      <xdr:colOff>98533</xdr:colOff>
      <xdr:row>45</xdr:row>
      <xdr:rowOff>14968</xdr:rowOff>
    </xdr:from>
    <xdr:to>
      <xdr:col>20</xdr:col>
      <xdr:colOff>566348</xdr:colOff>
      <xdr:row>50</xdr:row>
      <xdr:rowOff>174042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7E199D-7982-3C5A-FE59-BD782FCAF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627990" y="8723539"/>
          <a:ext cx="1126401" cy="1133346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5</xdr:row>
      <xdr:rowOff>142875</xdr:rowOff>
    </xdr:from>
    <xdr:to>
      <xdr:col>20</xdr:col>
      <xdr:colOff>448313</xdr:colOff>
      <xdr:row>19</xdr:row>
      <xdr:rowOff>360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18BDC68-5685-E373-5112-59ED85E05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039225" y="1085850"/>
          <a:ext cx="4572638" cy="25816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111377</xdr:colOff>
      <xdr:row>0</xdr:row>
      <xdr:rowOff>13145</xdr:rowOff>
    </xdr:from>
    <xdr:to>
      <xdr:col>24</xdr:col>
      <xdr:colOff>566655</xdr:colOff>
      <xdr:row>12</xdr:row>
      <xdr:rowOff>167049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3B3FFA-DEEF-4781-92A0-E49D1F711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6602" y="13145"/>
          <a:ext cx="1112503" cy="2458954"/>
        </a:xfrm>
        <a:prstGeom prst="rect">
          <a:avLst/>
        </a:prstGeom>
      </xdr:spPr>
    </xdr:pic>
    <xdr:clientData/>
  </xdr:twoCellAnchor>
  <xdr:twoCellAnchor>
    <xdr:from>
      <xdr:col>24</xdr:col>
      <xdr:colOff>638665</xdr:colOff>
      <xdr:row>0</xdr:row>
      <xdr:rowOff>2</xdr:rowOff>
    </xdr:from>
    <xdr:to>
      <xdr:col>26</xdr:col>
      <xdr:colOff>395011</xdr:colOff>
      <xdr:row>12</xdr:row>
      <xdr:rowOff>148691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40E45C1-4A80-4D79-87E2-A5C385AC5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31115" y="2"/>
          <a:ext cx="1137471" cy="2453739"/>
        </a:xfrm>
        <a:prstGeom prst="rect">
          <a:avLst/>
        </a:prstGeom>
      </xdr:spPr>
    </xdr:pic>
    <xdr:clientData/>
  </xdr:twoCellAnchor>
  <xdr:twoCellAnchor>
    <xdr:from>
      <xdr:col>26</xdr:col>
      <xdr:colOff>456773</xdr:colOff>
      <xdr:row>9</xdr:row>
      <xdr:rowOff>49548</xdr:rowOff>
    </xdr:from>
    <xdr:to>
      <xdr:col>27</xdr:col>
      <xdr:colOff>97558</xdr:colOff>
      <xdr:row>12</xdr:row>
      <xdr:rowOff>47746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4366C02-6496-4066-A5C6-BF2DA580C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0348" y="1773573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174476</xdr:colOff>
      <xdr:row>9</xdr:row>
      <xdr:rowOff>43706</xdr:rowOff>
    </xdr:from>
    <xdr:to>
      <xdr:col>27</xdr:col>
      <xdr:colOff>477167</xdr:colOff>
      <xdr:row>12</xdr:row>
      <xdr:rowOff>41904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A7632E-4CE3-4108-A227-3A1CFA592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5276" y="1767731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168125</xdr:colOff>
      <xdr:row>6</xdr:row>
      <xdr:rowOff>63998</xdr:rowOff>
    </xdr:from>
    <xdr:to>
      <xdr:col>27</xdr:col>
      <xdr:colOff>470816</xdr:colOff>
      <xdr:row>9</xdr:row>
      <xdr:rowOff>62196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51277B0-71D2-44B1-A36C-030712B66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8925" y="1206998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161775</xdr:colOff>
      <xdr:row>3</xdr:row>
      <xdr:rowOff>28104</xdr:rowOff>
    </xdr:from>
    <xdr:to>
      <xdr:col>27</xdr:col>
      <xdr:colOff>464466</xdr:colOff>
      <xdr:row>6</xdr:row>
      <xdr:rowOff>16777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711C020-8FDC-40ED-93B6-356515F56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2575" y="580554"/>
          <a:ext cx="302691" cy="579223"/>
        </a:xfrm>
        <a:prstGeom prst="rect">
          <a:avLst/>
        </a:prstGeom>
      </xdr:spPr>
    </xdr:pic>
    <xdr:clientData/>
  </xdr:twoCellAnchor>
  <xdr:twoCellAnchor>
    <xdr:from>
      <xdr:col>26</xdr:col>
      <xdr:colOff>486935</xdr:colOff>
      <xdr:row>3</xdr:row>
      <xdr:rowOff>29563</xdr:rowOff>
    </xdr:from>
    <xdr:to>
      <xdr:col>27</xdr:col>
      <xdr:colOff>127720</xdr:colOff>
      <xdr:row>6</xdr:row>
      <xdr:rowOff>18236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F85050-8C67-49BB-8388-F7AF49E0F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510" y="582013"/>
          <a:ext cx="298010" cy="579223"/>
        </a:xfrm>
        <a:prstGeom prst="rect">
          <a:avLst/>
        </a:prstGeom>
      </xdr:spPr>
    </xdr:pic>
    <xdr:clientData/>
  </xdr:twoCellAnchor>
  <xdr:twoCellAnchor>
    <xdr:from>
      <xdr:col>26</xdr:col>
      <xdr:colOff>472648</xdr:colOff>
      <xdr:row>6</xdr:row>
      <xdr:rowOff>46475</xdr:rowOff>
    </xdr:from>
    <xdr:to>
      <xdr:col>27</xdr:col>
      <xdr:colOff>113433</xdr:colOff>
      <xdr:row>9</xdr:row>
      <xdr:rowOff>44673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97A02CF-D73B-4416-8A6F-AE7A6A2A4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223" y="1189475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527198</xdr:colOff>
      <xdr:row>10</xdr:row>
      <xdr:rowOff>60581</xdr:rowOff>
    </xdr:from>
    <xdr:to>
      <xdr:col>28</xdr:col>
      <xdr:colOff>244344</xdr:colOff>
      <xdr:row>11</xdr:row>
      <xdr:rowOff>106620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BA9FCEC-041A-4500-A9A6-0D65F056B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8" y="1975106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528786</xdr:colOff>
      <xdr:row>3</xdr:row>
      <xdr:rowOff>175607</xdr:rowOff>
    </xdr:from>
    <xdr:to>
      <xdr:col>28</xdr:col>
      <xdr:colOff>245932</xdr:colOff>
      <xdr:row>5</xdr:row>
      <xdr:rowOff>21621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C4453A-307F-4E90-9E9B-27A9C9010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9586" y="728057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530373</xdr:colOff>
      <xdr:row>5</xdr:row>
      <xdr:rowOff>34784</xdr:rowOff>
    </xdr:from>
    <xdr:to>
      <xdr:col>28</xdr:col>
      <xdr:colOff>247519</xdr:colOff>
      <xdr:row>6</xdr:row>
      <xdr:rowOff>71298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C86B17D-1541-4DBB-A057-77CF4E01A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61173" y="977759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524024</xdr:colOff>
      <xdr:row>7</xdr:row>
      <xdr:rowOff>132677</xdr:rowOff>
    </xdr:from>
    <xdr:to>
      <xdr:col>28</xdr:col>
      <xdr:colOff>241170</xdr:colOff>
      <xdr:row>8</xdr:row>
      <xdr:rowOff>178716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7718B93-7266-4EE9-BEA6-2CF2A09A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4824" y="1475702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525612</xdr:colOff>
      <xdr:row>6</xdr:row>
      <xdr:rowOff>85920</xdr:rowOff>
    </xdr:from>
    <xdr:to>
      <xdr:col>28</xdr:col>
      <xdr:colOff>242758</xdr:colOff>
      <xdr:row>7</xdr:row>
      <xdr:rowOff>122434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185C19B-B5E8-4396-89E7-8E4E9AAB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6412" y="1228920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527199</xdr:colOff>
      <xdr:row>9</xdr:row>
      <xdr:rowOff>2839</xdr:rowOff>
    </xdr:from>
    <xdr:to>
      <xdr:col>28</xdr:col>
      <xdr:colOff>244345</xdr:colOff>
      <xdr:row>10</xdr:row>
      <xdr:rowOff>48878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3CD9766-84D2-4A34-B7BD-E3609DE7D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9" y="1726864"/>
          <a:ext cx="374371" cy="236539"/>
        </a:xfrm>
        <a:prstGeom prst="rect">
          <a:avLst/>
        </a:prstGeom>
      </xdr:spPr>
    </xdr:pic>
    <xdr:clientData/>
  </xdr:twoCellAnchor>
  <xdr:twoCellAnchor>
    <xdr:from>
      <xdr:col>28</xdr:col>
      <xdr:colOff>474537</xdr:colOff>
      <xdr:row>0</xdr:row>
      <xdr:rowOff>27746</xdr:rowOff>
    </xdr:from>
    <xdr:to>
      <xdr:col>30</xdr:col>
      <xdr:colOff>413338</xdr:colOff>
      <xdr:row>5</xdr:row>
      <xdr:rowOff>108165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C57F8D5-9811-4216-8B32-E149C32A5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62562" y="27746"/>
          <a:ext cx="1253251" cy="1023394"/>
        </a:xfrm>
        <a:prstGeom prst="rect">
          <a:avLst/>
        </a:prstGeom>
      </xdr:spPr>
    </xdr:pic>
    <xdr:clientData/>
  </xdr:twoCellAnchor>
  <xdr:twoCellAnchor>
    <xdr:from>
      <xdr:col>30</xdr:col>
      <xdr:colOff>478427</xdr:colOff>
      <xdr:row>0</xdr:row>
      <xdr:rowOff>29207</xdr:rowOff>
    </xdr:from>
    <xdr:to>
      <xdr:col>32</xdr:col>
      <xdr:colOff>422896</xdr:colOff>
      <xdr:row>5</xdr:row>
      <xdr:rowOff>109626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9014F6B-F82C-4335-8B48-2B29BF6C0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280902" y="29207"/>
          <a:ext cx="1258919" cy="1023394"/>
        </a:xfrm>
        <a:prstGeom prst="rect">
          <a:avLst/>
        </a:prstGeom>
      </xdr:spPr>
    </xdr:pic>
    <xdr:clientData/>
  </xdr:twoCellAnchor>
  <xdr:twoCellAnchor>
    <xdr:from>
      <xdr:col>28</xdr:col>
      <xdr:colOff>450723</xdr:colOff>
      <xdr:row>7</xdr:row>
      <xdr:rowOff>72787</xdr:rowOff>
    </xdr:from>
    <xdr:to>
      <xdr:col>29</xdr:col>
      <xdr:colOff>176244</xdr:colOff>
      <xdr:row>9</xdr:row>
      <xdr:rowOff>151178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31C7BC7-41CA-4C40-B7AA-09F7DD497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8748" y="1415812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209249</xdr:colOff>
      <xdr:row>7</xdr:row>
      <xdr:rowOff>81549</xdr:rowOff>
    </xdr:from>
    <xdr:to>
      <xdr:col>29</xdr:col>
      <xdr:colOff>591480</xdr:colOff>
      <xdr:row>9</xdr:row>
      <xdr:rowOff>159940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5A57B88-B171-42C2-8289-E24595863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54499" y="1424574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632420</xdr:colOff>
      <xdr:row>7</xdr:row>
      <xdr:rowOff>75708</xdr:rowOff>
    </xdr:from>
    <xdr:to>
      <xdr:col>30</xdr:col>
      <xdr:colOff>369220</xdr:colOff>
      <xdr:row>9</xdr:row>
      <xdr:rowOff>154099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1C5CB56-87BB-4B0F-805D-C8E1C54C8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7670" y="1418733"/>
          <a:ext cx="394025" cy="459391"/>
        </a:xfrm>
        <a:prstGeom prst="rect">
          <a:avLst/>
        </a:prstGeom>
      </xdr:spPr>
    </xdr:pic>
    <xdr:clientData/>
  </xdr:twoCellAnchor>
  <xdr:twoCellAnchor>
    <xdr:from>
      <xdr:col>28</xdr:col>
      <xdr:colOff>444373</xdr:colOff>
      <xdr:row>9</xdr:row>
      <xdr:rowOff>189731</xdr:rowOff>
    </xdr:from>
    <xdr:to>
      <xdr:col>29</xdr:col>
      <xdr:colOff>169894</xdr:colOff>
      <xdr:row>12</xdr:row>
      <xdr:rowOff>68097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C19990-DE5F-45B7-A7C6-BF470BC79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2398" y="1913756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202899</xdr:colOff>
      <xdr:row>10</xdr:row>
      <xdr:rowOff>7992</xdr:rowOff>
    </xdr:from>
    <xdr:to>
      <xdr:col>29</xdr:col>
      <xdr:colOff>585130</xdr:colOff>
      <xdr:row>12</xdr:row>
      <xdr:rowOff>76858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699C9EB-ED5E-466C-BE7B-BF6190E01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48149" y="1922517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626070</xdr:colOff>
      <xdr:row>10</xdr:row>
      <xdr:rowOff>2152</xdr:rowOff>
    </xdr:from>
    <xdr:to>
      <xdr:col>30</xdr:col>
      <xdr:colOff>362870</xdr:colOff>
      <xdr:row>12</xdr:row>
      <xdr:rowOff>71018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48BCD65-0B7A-4B8C-AFAD-BB2EDB83C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1320" y="1916677"/>
          <a:ext cx="394025" cy="459391"/>
        </a:xfrm>
        <a:prstGeom prst="rect">
          <a:avLst/>
        </a:prstGeom>
      </xdr:spPr>
    </xdr:pic>
    <xdr:clientData/>
  </xdr:twoCellAnchor>
  <xdr:twoCellAnchor>
    <xdr:from>
      <xdr:col>31</xdr:col>
      <xdr:colOff>80696</xdr:colOff>
      <xdr:row>7</xdr:row>
      <xdr:rowOff>69795</xdr:rowOff>
    </xdr:from>
    <xdr:to>
      <xdr:col>33</xdr:col>
      <xdr:colOff>122687</xdr:colOff>
      <xdr:row>8</xdr:row>
      <xdr:rowOff>79421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D7EAB983-3399-4953-8B17-E34E8131CD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0396" y="1412820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74346</xdr:colOff>
      <xdr:row>8</xdr:row>
      <xdr:rowOff>107093</xdr:rowOff>
    </xdr:from>
    <xdr:to>
      <xdr:col>33</xdr:col>
      <xdr:colOff>116337</xdr:colOff>
      <xdr:row>9</xdr:row>
      <xdr:rowOff>116719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DEDAE7F-5A72-48B1-A224-6CA5E9BCA3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4046" y="1640618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83871</xdr:colOff>
      <xdr:row>9</xdr:row>
      <xdr:rowOff>137090</xdr:rowOff>
    </xdr:from>
    <xdr:to>
      <xdr:col>33</xdr:col>
      <xdr:colOff>125862</xdr:colOff>
      <xdr:row>10</xdr:row>
      <xdr:rowOff>146716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D32D06E8-D0E7-4055-B9AC-F839AA1D93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3571" y="1861115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77521</xdr:colOff>
      <xdr:row>10</xdr:row>
      <xdr:rowOff>167088</xdr:rowOff>
    </xdr:from>
    <xdr:to>
      <xdr:col>33</xdr:col>
      <xdr:colOff>119512</xdr:colOff>
      <xdr:row>11</xdr:row>
      <xdr:rowOff>176714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F5B5BB6-1F82-42DF-B347-732EE993E13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7221" y="2081613"/>
          <a:ext cx="1356441" cy="200126"/>
        </a:xfrm>
        <a:prstGeom prst="rect">
          <a:avLst/>
        </a:prstGeom>
      </xdr:spPr>
    </xdr:pic>
    <xdr:clientData/>
  </xdr:twoCellAnchor>
  <xdr:twoCellAnchor>
    <xdr:from>
      <xdr:col>29</xdr:col>
      <xdr:colOff>136222</xdr:colOff>
      <xdr:row>13</xdr:row>
      <xdr:rowOff>181728</xdr:rowOff>
    </xdr:from>
    <xdr:to>
      <xdr:col>32</xdr:col>
      <xdr:colOff>514975</xdr:colOff>
      <xdr:row>21</xdr:row>
      <xdr:rowOff>95692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FA64B3DC-7BBE-4A14-A59A-D2E1D8BDE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281472" y="2686803"/>
          <a:ext cx="2350428" cy="1476064"/>
        </a:xfrm>
        <a:prstGeom prst="rect">
          <a:avLst/>
        </a:prstGeom>
      </xdr:spPr>
    </xdr:pic>
    <xdr:clientData/>
  </xdr:twoCellAnchor>
  <xdr:twoCellAnchor>
    <xdr:from>
      <xdr:col>27</xdr:col>
      <xdr:colOff>7356</xdr:colOff>
      <xdr:row>13</xdr:row>
      <xdr:rowOff>7500</xdr:rowOff>
    </xdr:from>
    <xdr:to>
      <xdr:col>29</xdr:col>
      <xdr:colOff>154391</xdr:colOff>
      <xdr:row>28</xdr:row>
      <xdr:rowOff>23540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68B96A2-3CF2-4A5E-B096-6EFB2DB7E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838156" y="2512575"/>
          <a:ext cx="1461485" cy="2940215"/>
        </a:xfrm>
        <a:prstGeom prst="rect">
          <a:avLst/>
        </a:prstGeom>
      </xdr:spPr>
    </xdr:pic>
    <xdr:clientData/>
  </xdr:twoCellAnchor>
  <xdr:twoCellAnchor>
    <xdr:from>
      <xdr:col>23</xdr:col>
      <xdr:colOff>121606</xdr:colOff>
      <xdr:row>13</xdr:row>
      <xdr:rowOff>47154</xdr:rowOff>
    </xdr:from>
    <xdr:to>
      <xdr:col>27</xdr:col>
      <xdr:colOff>37960</xdr:colOff>
      <xdr:row>28</xdr:row>
      <xdr:rowOff>16188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6AF5E35D-A3F0-4846-B69B-778BA52D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256831" y="2552229"/>
          <a:ext cx="2611929" cy="2893209"/>
        </a:xfrm>
        <a:prstGeom prst="rect">
          <a:avLst/>
        </a:prstGeom>
      </xdr:spPr>
    </xdr:pic>
    <xdr:clientData/>
  </xdr:twoCellAnchor>
  <xdr:twoCellAnchor>
    <xdr:from>
      <xdr:col>25</xdr:col>
      <xdr:colOff>590358</xdr:colOff>
      <xdr:row>34</xdr:row>
      <xdr:rowOff>46761</xdr:rowOff>
    </xdr:from>
    <xdr:to>
      <xdr:col>26</xdr:col>
      <xdr:colOff>319175</xdr:colOff>
      <xdr:row>36</xdr:row>
      <xdr:rowOff>97993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4CF5D59D-43CD-40EC-A06A-568F3D364D2A}"/>
            </a:ext>
          </a:extLst>
        </xdr:cNvPr>
        <xdr:cNvSpPr/>
      </xdr:nvSpPr>
      <xdr:spPr>
        <a:xfrm>
          <a:off x="17040033" y="6619011"/>
          <a:ext cx="452717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416016</xdr:colOff>
      <xdr:row>34</xdr:row>
      <xdr:rowOff>62820</xdr:rowOff>
    </xdr:from>
    <xdr:to>
      <xdr:col>27</xdr:col>
      <xdr:colOff>216454</xdr:colOff>
      <xdr:row>36</xdr:row>
      <xdr:rowOff>114052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2349F003-6871-4684-98CE-E739A5007F8A}"/>
            </a:ext>
          </a:extLst>
        </xdr:cNvPr>
        <xdr:cNvSpPr/>
      </xdr:nvSpPr>
      <xdr:spPr>
        <a:xfrm>
          <a:off x="17589591" y="6635070"/>
          <a:ext cx="457663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584009</xdr:colOff>
      <xdr:row>31</xdr:row>
      <xdr:rowOff>101335</xdr:rowOff>
    </xdr:from>
    <xdr:to>
      <xdr:col>26</xdr:col>
      <xdr:colOff>312826</xdr:colOff>
      <xdr:row>33</xdr:row>
      <xdr:rowOff>143806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A3B39E6E-2E47-47EB-AA86-566973616BCE}"/>
            </a:ext>
          </a:extLst>
        </xdr:cNvPr>
        <xdr:cNvSpPr/>
      </xdr:nvSpPr>
      <xdr:spPr>
        <a:xfrm>
          <a:off x="17033684" y="6102085"/>
          <a:ext cx="452717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409665</xdr:colOff>
      <xdr:row>31</xdr:row>
      <xdr:rowOff>95495</xdr:rowOff>
    </xdr:from>
    <xdr:to>
      <xdr:col>27</xdr:col>
      <xdr:colOff>210103</xdr:colOff>
      <xdr:row>33</xdr:row>
      <xdr:rowOff>137966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DA830E07-403C-490E-8FF2-227B85D45136}"/>
            </a:ext>
          </a:extLst>
        </xdr:cNvPr>
        <xdr:cNvSpPr/>
      </xdr:nvSpPr>
      <xdr:spPr>
        <a:xfrm>
          <a:off x="17583240" y="6096245"/>
          <a:ext cx="457663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577658</xdr:colOff>
      <xdr:row>28</xdr:row>
      <xdr:rowOff>163209</xdr:rowOff>
    </xdr:from>
    <xdr:to>
      <xdr:col>26</xdr:col>
      <xdr:colOff>306475</xdr:colOff>
      <xdr:row>31</xdr:row>
      <xdr:rowOff>15180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C14D824C-4A27-4038-BCE7-3E6EF184C6D7}"/>
            </a:ext>
          </a:extLst>
        </xdr:cNvPr>
        <xdr:cNvSpPr/>
      </xdr:nvSpPr>
      <xdr:spPr>
        <a:xfrm>
          <a:off x="17027333" y="5592459"/>
          <a:ext cx="452717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395377</xdr:colOff>
      <xdr:row>28</xdr:row>
      <xdr:rowOff>150064</xdr:rowOff>
    </xdr:from>
    <xdr:to>
      <xdr:col>27</xdr:col>
      <xdr:colOff>195815</xdr:colOff>
      <xdr:row>31</xdr:row>
      <xdr:rowOff>2035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FE132A3E-54C0-4E4D-8CD1-6F9DF452E9AD}"/>
            </a:ext>
          </a:extLst>
        </xdr:cNvPr>
        <xdr:cNvSpPr/>
      </xdr:nvSpPr>
      <xdr:spPr>
        <a:xfrm>
          <a:off x="17568952" y="5579314"/>
          <a:ext cx="457663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382867</xdr:colOff>
      <xdr:row>31</xdr:row>
      <xdr:rowOff>123237</xdr:rowOff>
    </xdr:from>
    <xdr:to>
      <xdr:col>25</xdr:col>
      <xdr:colOff>245676</xdr:colOff>
      <xdr:row>31</xdr:row>
      <xdr:rowOff>123238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42E37CD9-51AF-4949-B30B-4FA7568075DD}"/>
            </a:ext>
          </a:extLst>
        </xdr:cNvPr>
        <xdr:cNvCxnSpPr/>
      </xdr:nvCxnSpPr>
      <xdr:spPr>
        <a:xfrm flipV="1">
          <a:off x="16175317" y="6123987"/>
          <a:ext cx="520034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507193</xdr:colOff>
      <xdr:row>30</xdr:row>
      <xdr:rowOff>80094</xdr:rowOff>
    </xdr:from>
    <xdr:to>
      <xdr:col>24</xdr:col>
      <xdr:colOff>343177</xdr:colOff>
      <xdr:row>30</xdr:row>
      <xdr:rowOff>80095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9441D36-AFE9-4701-A5F1-6FAFE6F816A9}"/>
            </a:ext>
          </a:extLst>
        </xdr:cNvPr>
        <xdr:cNvCxnSpPr/>
      </xdr:nvCxnSpPr>
      <xdr:spPr>
        <a:xfrm flipV="1">
          <a:off x="15642418" y="5890344"/>
          <a:ext cx="493209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384454</xdr:colOff>
      <xdr:row>30</xdr:row>
      <xdr:rowOff>81556</xdr:rowOff>
    </xdr:from>
    <xdr:to>
      <xdr:col>25</xdr:col>
      <xdr:colOff>247263</xdr:colOff>
      <xdr:row>30</xdr:row>
      <xdr:rowOff>81557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4ADBF989-BF06-4DA6-B3E6-650488A92479}"/>
            </a:ext>
          </a:extLst>
        </xdr:cNvPr>
        <xdr:cNvCxnSpPr/>
      </xdr:nvCxnSpPr>
      <xdr:spPr>
        <a:xfrm flipV="1">
          <a:off x="16176904" y="5891806"/>
          <a:ext cx="520034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495173</xdr:colOff>
      <xdr:row>29</xdr:row>
      <xdr:rowOff>31114</xdr:rowOff>
    </xdr:from>
    <xdr:to>
      <xdr:col>24</xdr:col>
      <xdr:colOff>344764</xdr:colOff>
      <xdr:row>29</xdr:row>
      <xdr:rowOff>31115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F593B3CD-B37B-4D1B-8D4F-E1934B4E880D}"/>
            </a:ext>
          </a:extLst>
        </xdr:cNvPr>
        <xdr:cNvCxnSpPr/>
      </xdr:nvCxnSpPr>
      <xdr:spPr>
        <a:xfrm flipV="1">
          <a:off x="15630398" y="5650864"/>
          <a:ext cx="506816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386042</xdr:colOff>
      <xdr:row>29</xdr:row>
      <xdr:rowOff>32576</xdr:rowOff>
    </xdr:from>
    <xdr:to>
      <xdr:col>25</xdr:col>
      <xdr:colOff>248851</xdr:colOff>
      <xdr:row>29</xdr:row>
      <xdr:rowOff>32577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BB9E42C1-FA60-4465-AC68-7733E01E9546}"/>
            </a:ext>
          </a:extLst>
        </xdr:cNvPr>
        <xdr:cNvCxnSpPr/>
      </xdr:nvCxnSpPr>
      <xdr:spPr>
        <a:xfrm flipV="1">
          <a:off x="16178492" y="5652326"/>
          <a:ext cx="520034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88679</xdr:colOff>
      <xdr:row>45</xdr:row>
      <xdr:rowOff>9525</xdr:rowOff>
    </xdr:from>
    <xdr:to>
      <xdr:col>22</xdr:col>
      <xdr:colOff>558165</xdr:colOff>
      <xdr:row>50</xdr:row>
      <xdr:rowOff>166275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EF36CC3-9DCB-4903-8ACD-F94357008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909454" y="8696325"/>
          <a:ext cx="1126711" cy="1128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98533</xdr:colOff>
      <xdr:row>45</xdr:row>
      <xdr:rowOff>14968</xdr:rowOff>
    </xdr:from>
    <xdr:to>
      <xdr:col>20</xdr:col>
      <xdr:colOff>566348</xdr:colOff>
      <xdr:row>50</xdr:row>
      <xdr:rowOff>174042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1DA0BF48-F2FA-40CC-8BC3-698D12317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604858" y="8701768"/>
          <a:ext cx="1125040" cy="1130624"/>
        </a:xfrm>
        <a:prstGeom prst="rect">
          <a:avLst/>
        </a:prstGeom>
      </xdr:spPr>
    </xdr:pic>
    <xdr:clientData/>
  </xdr:twoCellAnchor>
  <xdr:twoCellAnchor editAs="oneCell">
    <xdr:from>
      <xdr:col>12</xdr:col>
      <xdr:colOff>323850</xdr:colOff>
      <xdr:row>4</xdr:row>
      <xdr:rowOff>86029</xdr:rowOff>
    </xdr:from>
    <xdr:to>
      <xdr:col>18</xdr:col>
      <xdr:colOff>638175</xdr:colOff>
      <xdr:row>17</xdr:row>
      <xdr:rowOff>162418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54D30A37-5B4D-EDD2-A863-41D09BFC2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229600" y="828979"/>
          <a:ext cx="4257675" cy="2619564"/>
        </a:xfrm>
        <a:prstGeom prst="rect">
          <a:avLst/>
        </a:prstGeom>
      </xdr:spPr>
    </xdr:pic>
    <xdr:clientData/>
  </xdr:twoCellAnchor>
  <xdr:twoCellAnchor>
    <xdr:from>
      <xdr:col>12</xdr:col>
      <xdr:colOff>158121</xdr:colOff>
      <xdr:row>17</xdr:row>
      <xdr:rowOff>28575</xdr:rowOff>
    </xdr:from>
    <xdr:to>
      <xdr:col>15</xdr:col>
      <xdr:colOff>381000</xdr:colOff>
      <xdr:row>24</xdr:row>
      <xdr:rowOff>39248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464AC2BD-4307-49BA-9657-5E9F24B03987}"/>
            </a:ext>
          </a:extLst>
        </xdr:cNvPr>
        <xdr:cNvSpPr/>
      </xdr:nvSpPr>
      <xdr:spPr>
        <a:xfrm>
          <a:off x="8063871" y="3314700"/>
          <a:ext cx="2194554" cy="1372748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Swing to</a:t>
          </a:r>
          <a:r>
            <a:rPr lang="en-US" sz="1200" b="1" baseline="0"/>
            <a:t> find center of thru hole and then move the distances provided to set your X and Y. Double check locations to the print</a:t>
          </a:r>
          <a:endParaRPr lang="en-US" sz="1200" b="1"/>
        </a:p>
      </xdr:txBody>
    </xdr:sp>
    <xdr:clientData/>
  </xdr:twoCellAnchor>
  <xdr:twoCellAnchor>
    <xdr:from>
      <xdr:col>15</xdr:col>
      <xdr:colOff>142875</xdr:colOff>
      <xdr:row>13</xdr:row>
      <xdr:rowOff>171450</xdr:rowOff>
    </xdr:from>
    <xdr:to>
      <xdr:col>15</xdr:col>
      <xdr:colOff>514350</xdr:colOff>
      <xdr:row>18</xdr:row>
      <xdr:rowOff>19050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D6A6D1CD-589E-4D47-B674-2CB97D6E3CA6}"/>
            </a:ext>
          </a:extLst>
        </xdr:cNvPr>
        <xdr:cNvCxnSpPr/>
      </xdr:nvCxnSpPr>
      <xdr:spPr>
        <a:xfrm flipV="1">
          <a:off x="10020300" y="2676525"/>
          <a:ext cx="371475" cy="819150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26</xdr:row>
      <xdr:rowOff>85725</xdr:rowOff>
    </xdr:from>
    <xdr:to>
      <xdr:col>7</xdr:col>
      <xdr:colOff>514928</xdr:colOff>
      <xdr:row>44</xdr:row>
      <xdr:rowOff>67151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BA3333-9F65-43C9-B80F-DAB807387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5067300"/>
          <a:ext cx="4143953" cy="34104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10</xdr:row>
      <xdr:rowOff>161717</xdr:rowOff>
    </xdr:from>
    <xdr:to>
      <xdr:col>22</xdr:col>
      <xdr:colOff>361949</xdr:colOff>
      <xdr:row>21</xdr:row>
      <xdr:rowOff>182872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5B2711E1-98B0-D897-971F-8915BFA8B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82450" y="2076242"/>
          <a:ext cx="2857499" cy="2173805"/>
        </a:xfrm>
        <a:prstGeom prst="rect">
          <a:avLst/>
        </a:prstGeom>
      </xdr:spPr>
    </xdr:pic>
    <xdr:clientData/>
  </xdr:twoCellAnchor>
  <xdr:twoCellAnchor>
    <xdr:from>
      <xdr:col>23</xdr:col>
      <xdr:colOff>111377</xdr:colOff>
      <xdr:row>0</xdr:row>
      <xdr:rowOff>13145</xdr:rowOff>
    </xdr:from>
    <xdr:to>
      <xdr:col>24</xdr:col>
      <xdr:colOff>566655</xdr:colOff>
      <xdr:row>12</xdr:row>
      <xdr:rowOff>167049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7FC05AC-5159-4593-BB4B-66F82DC76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6602" y="13145"/>
          <a:ext cx="1112503" cy="2458954"/>
        </a:xfrm>
        <a:prstGeom prst="rect">
          <a:avLst/>
        </a:prstGeom>
      </xdr:spPr>
    </xdr:pic>
    <xdr:clientData/>
  </xdr:twoCellAnchor>
  <xdr:twoCellAnchor>
    <xdr:from>
      <xdr:col>24</xdr:col>
      <xdr:colOff>638665</xdr:colOff>
      <xdr:row>0</xdr:row>
      <xdr:rowOff>2</xdr:rowOff>
    </xdr:from>
    <xdr:to>
      <xdr:col>26</xdr:col>
      <xdr:colOff>395011</xdr:colOff>
      <xdr:row>12</xdr:row>
      <xdr:rowOff>148691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D33982D-C86D-4DE0-BE35-23284FF80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31115" y="2"/>
          <a:ext cx="1137471" cy="2453739"/>
        </a:xfrm>
        <a:prstGeom prst="rect">
          <a:avLst/>
        </a:prstGeom>
      </xdr:spPr>
    </xdr:pic>
    <xdr:clientData/>
  </xdr:twoCellAnchor>
  <xdr:twoCellAnchor>
    <xdr:from>
      <xdr:col>26</xdr:col>
      <xdr:colOff>456773</xdr:colOff>
      <xdr:row>9</xdr:row>
      <xdr:rowOff>49548</xdr:rowOff>
    </xdr:from>
    <xdr:to>
      <xdr:col>27</xdr:col>
      <xdr:colOff>97558</xdr:colOff>
      <xdr:row>12</xdr:row>
      <xdr:rowOff>47746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EFD551A-58E6-4EC0-89C7-FCAFB21D5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0348" y="1773573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174476</xdr:colOff>
      <xdr:row>9</xdr:row>
      <xdr:rowOff>43706</xdr:rowOff>
    </xdr:from>
    <xdr:to>
      <xdr:col>27</xdr:col>
      <xdr:colOff>477167</xdr:colOff>
      <xdr:row>12</xdr:row>
      <xdr:rowOff>41904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AF78106-6BB8-4FB8-8A8A-0B9542F24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5276" y="1767731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168125</xdr:colOff>
      <xdr:row>6</xdr:row>
      <xdr:rowOff>63998</xdr:rowOff>
    </xdr:from>
    <xdr:to>
      <xdr:col>27</xdr:col>
      <xdr:colOff>470816</xdr:colOff>
      <xdr:row>9</xdr:row>
      <xdr:rowOff>62196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16018DC-2A4A-4D14-A522-57CA5BE10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8925" y="1206998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161775</xdr:colOff>
      <xdr:row>3</xdr:row>
      <xdr:rowOff>28104</xdr:rowOff>
    </xdr:from>
    <xdr:to>
      <xdr:col>27</xdr:col>
      <xdr:colOff>464466</xdr:colOff>
      <xdr:row>6</xdr:row>
      <xdr:rowOff>16777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D1F8F21-DD02-487B-AB4E-7F57D585D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2575" y="580554"/>
          <a:ext cx="302691" cy="579223"/>
        </a:xfrm>
        <a:prstGeom prst="rect">
          <a:avLst/>
        </a:prstGeom>
      </xdr:spPr>
    </xdr:pic>
    <xdr:clientData/>
  </xdr:twoCellAnchor>
  <xdr:twoCellAnchor>
    <xdr:from>
      <xdr:col>26</xdr:col>
      <xdr:colOff>486935</xdr:colOff>
      <xdr:row>3</xdr:row>
      <xdr:rowOff>29563</xdr:rowOff>
    </xdr:from>
    <xdr:to>
      <xdr:col>27</xdr:col>
      <xdr:colOff>127720</xdr:colOff>
      <xdr:row>6</xdr:row>
      <xdr:rowOff>18236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244D545-ABA4-4277-A1EC-AC8892E2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510" y="582013"/>
          <a:ext cx="298010" cy="579223"/>
        </a:xfrm>
        <a:prstGeom prst="rect">
          <a:avLst/>
        </a:prstGeom>
      </xdr:spPr>
    </xdr:pic>
    <xdr:clientData/>
  </xdr:twoCellAnchor>
  <xdr:twoCellAnchor>
    <xdr:from>
      <xdr:col>26</xdr:col>
      <xdr:colOff>472648</xdr:colOff>
      <xdr:row>6</xdr:row>
      <xdr:rowOff>46475</xdr:rowOff>
    </xdr:from>
    <xdr:to>
      <xdr:col>27</xdr:col>
      <xdr:colOff>113433</xdr:colOff>
      <xdr:row>9</xdr:row>
      <xdr:rowOff>44673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653C5D4-FFA2-4E9B-B06A-3A912BE3D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223" y="1189475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527198</xdr:colOff>
      <xdr:row>10</xdr:row>
      <xdr:rowOff>60581</xdr:rowOff>
    </xdr:from>
    <xdr:to>
      <xdr:col>28</xdr:col>
      <xdr:colOff>244344</xdr:colOff>
      <xdr:row>11</xdr:row>
      <xdr:rowOff>106620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4E0A533-8AFD-4CE7-B9DB-769985CE2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8" y="1975106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528786</xdr:colOff>
      <xdr:row>3</xdr:row>
      <xdr:rowOff>175607</xdr:rowOff>
    </xdr:from>
    <xdr:to>
      <xdr:col>28</xdr:col>
      <xdr:colOff>245932</xdr:colOff>
      <xdr:row>5</xdr:row>
      <xdr:rowOff>21621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E9AC06D-DC85-4669-9EE5-79396789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9586" y="728057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530373</xdr:colOff>
      <xdr:row>5</xdr:row>
      <xdr:rowOff>34784</xdr:rowOff>
    </xdr:from>
    <xdr:to>
      <xdr:col>28</xdr:col>
      <xdr:colOff>247519</xdr:colOff>
      <xdr:row>6</xdr:row>
      <xdr:rowOff>71298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808E176-915B-4896-B9A3-94E865841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61173" y="977759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524024</xdr:colOff>
      <xdr:row>7</xdr:row>
      <xdr:rowOff>132677</xdr:rowOff>
    </xdr:from>
    <xdr:to>
      <xdr:col>28</xdr:col>
      <xdr:colOff>241170</xdr:colOff>
      <xdr:row>8</xdr:row>
      <xdr:rowOff>178716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28FB2F8-EF4D-48EE-9DD7-7E0F388E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4824" y="1475702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525612</xdr:colOff>
      <xdr:row>6</xdr:row>
      <xdr:rowOff>85920</xdr:rowOff>
    </xdr:from>
    <xdr:to>
      <xdr:col>28</xdr:col>
      <xdr:colOff>242758</xdr:colOff>
      <xdr:row>7</xdr:row>
      <xdr:rowOff>122434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B1DB34C-6233-4E59-8E23-B862563E4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6412" y="1228920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527199</xdr:colOff>
      <xdr:row>9</xdr:row>
      <xdr:rowOff>2839</xdr:rowOff>
    </xdr:from>
    <xdr:to>
      <xdr:col>28</xdr:col>
      <xdr:colOff>244345</xdr:colOff>
      <xdr:row>10</xdr:row>
      <xdr:rowOff>48878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3FB317-ABC2-4AF3-AF7B-F140BE326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9" y="1726864"/>
          <a:ext cx="374371" cy="236539"/>
        </a:xfrm>
        <a:prstGeom prst="rect">
          <a:avLst/>
        </a:prstGeom>
      </xdr:spPr>
    </xdr:pic>
    <xdr:clientData/>
  </xdr:twoCellAnchor>
  <xdr:twoCellAnchor>
    <xdr:from>
      <xdr:col>28</xdr:col>
      <xdr:colOff>474537</xdr:colOff>
      <xdr:row>0</xdr:row>
      <xdr:rowOff>27746</xdr:rowOff>
    </xdr:from>
    <xdr:to>
      <xdr:col>30</xdr:col>
      <xdr:colOff>413338</xdr:colOff>
      <xdr:row>5</xdr:row>
      <xdr:rowOff>108165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BABFBC1-A528-496C-82BC-A89EE3384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62562" y="27746"/>
          <a:ext cx="1253251" cy="1023394"/>
        </a:xfrm>
        <a:prstGeom prst="rect">
          <a:avLst/>
        </a:prstGeom>
      </xdr:spPr>
    </xdr:pic>
    <xdr:clientData/>
  </xdr:twoCellAnchor>
  <xdr:twoCellAnchor>
    <xdr:from>
      <xdr:col>30</xdr:col>
      <xdr:colOff>478427</xdr:colOff>
      <xdr:row>0</xdr:row>
      <xdr:rowOff>29207</xdr:rowOff>
    </xdr:from>
    <xdr:to>
      <xdr:col>32</xdr:col>
      <xdr:colOff>422896</xdr:colOff>
      <xdr:row>5</xdr:row>
      <xdr:rowOff>109626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49AC475-2F02-40E3-B607-8C85A9A92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280902" y="29207"/>
          <a:ext cx="1258919" cy="1023394"/>
        </a:xfrm>
        <a:prstGeom prst="rect">
          <a:avLst/>
        </a:prstGeom>
      </xdr:spPr>
    </xdr:pic>
    <xdr:clientData/>
  </xdr:twoCellAnchor>
  <xdr:twoCellAnchor>
    <xdr:from>
      <xdr:col>28</xdr:col>
      <xdr:colOff>450723</xdr:colOff>
      <xdr:row>7</xdr:row>
      <xdr:rowOff>72787</xdr:rowOff>
    </xdr:from>
    <xdr:to>
      <xdr:col>29</xdr:col>
      <xdr:colOff>176244</xdr:colOff>
      <xdr:row>9</xdr:row>
      <xdr:rowOff>151178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7360394-36D2-4B37-A265-51272B478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8748" y="1415812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209249</xdr:colOff>
      <xdr:row>7</xdr:row>
      <xdr:rowOff>81549</xdr:rowOff>
    </xdr:from>
    <xdr:to>
      <xdr:col>29</xdr:col>
      <xdr:colOff>591480</xdr:colOff>
      <xdr:row>9</xdr:row>
      <xdr:rowOff>159940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991A7E4-4CB3-4FAE-A3FA-22B5E5BF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54499" y="1424574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632420</xdr:colOff>
      <xdr:row>7</xdr:row>
      <xdr:rowOff>75708</xdr:rowOff>
    </xdr:from>
    <xdr:to>
      <xdr:col>30</xdr:col>
      <xdr:colOff>369220</xdr:colOff>
      <xdr:row>9</xdr:row>
      <xdr:rowOff>154099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DE2857F9-20DD-4B24-B0C0-5B86BC5DC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7670" y="1418733"/>
          <a:ext cx="394025" cy="459391"/>
        </a:xfrm>
        <a:prstGeom prst="rect">
          <a:avLst/>
        </a:prstGeom>
      </xdr:spPr>
    </xdr:pic>
    <xdr:clientData/>
  </xdr:twoCellAnchor>
  <xdr:twoCellAnchor>
    <xdr:from>
      <xdr:col>28</xdr:col>
      <xdr:colOff>444373</xdr:colOff>
      <xdr:row>9</xdr:row>
      <xdr:rowOff>189731</xdr:rowOff>
    </xdr:from>
    <xdr:to>
      <xdr:col>29</xdr:col>
      <xdr:colOff>169894</xdr:colOff>
      <xdr:row>12</xdr:row>
      <xdr:rowOff>68097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87DBA3-1C69-4D40-9EC0-258C147A9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2398" y="1913756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202899</xdr:colOff>
      <xdr:row>10</xdr:row>
      <xdr:rowOff>7992</xdr:rowOff>
    </xdr:from>
    <xdr:to>
      <xdr:col>29</xdr:col>
      <xdr:colOff>585130</xdr:colOff>
      <xdr:row>12</xdr:row>
      <xdr:rowOff>76858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A5746D6-A313-49F6-82F7-3FF271E81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48149" y="1922517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626070</xdr:colOff>
      <xdr:row>10</xdr:row>
      <xdr:rowOff>2152</xdr:rowOff>
    </xdr:from>
    <xdr:to>
      <xdr:col>30</xdr:col>
      <xdr:colOff>362870</xdr:colOff>
      <xdr:row>12</xdr:row>
      <xdr:rowOff>71018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BB7502F-15BD-4AC8-A474-2731A1241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1320" y="1916677"/>
          <a:ext cx="394025" cy="459391"/>
        </a:xfrm>
        <a:prstGeom prst="rect">
          <a:avLst/>
        </a:prstGeom>
      </xdr:spPr>
    </xdr:pic>
    <xdr:clientData/>
  </xdr:twoCellAnchor>
  <xdr:twoCellAnchor>
    <xdr:from>
      <xdr:col>31</xdr:col>
      <xdr:colOff>80696</xdr:colOff>
      <xdr:row>7</xdr:row>
      <xdr:rowOff>69795</xdr:rowOff>
    </xdr:from>
    <xdr:to>
      <xdr:col>33</xdr:col>
      <xdr:colOff>122687</xdr:colOff>
      <xdr:row>8</xdr:row>
      <xdr:rowOff>79421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4ADA9146-D74C-45D6-BACB-69BBF7DD7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0396" y="1412820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74346</xdr:colOff>
      <xdr:row>8</xdr:row>
      <xdr:rowOff>107093</xdr:rowOff>
    </xdr:from>
    <xdr:to>
      <xdr:col>33</xdr:col>
      <xdr:colOff>116337</xdr:colOff>
      <xdr:row>9</xdr:row>
      <xdr:rowOff>116719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4F99E596-8B28-4851-BF20-24279BE292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4046" y="1640618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83871</xdr:colOff>
      <xdr:row>9</xdr:row>
      <xdr:rowOff>137090</xdr:rowOff>
    </xdr:from>
    <xdr:to>
      <xdr:col>33</xdr:col>
      <xdr:colOff>125862</xdr:colOff>
      <xdr:row>10</xdr:row>
      <xdr:rowOff>146716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23356A5F-4AF4-479B-818C-898F54E9A2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3571" y="1861115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77521</xdr:colOff>
      <xdr:row>10</xdr:row>
      <xdr:rowOff>167088</xdr:rowOff>
    </xdr:from>
    <xdr:to>
      <xdr:col>33</xdr:col>
      <xdr:colOff>119512</xdr:colOff>
      <xdr:row>11</xdr:row>
      <xdr:rowOff>176714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52B65E1-D160-4E36-8C73-53F34A0DE1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7221" y="2081613"/>
          <a:ext cx="1356441" cy="200126"/>
        </a:xfrm>
        <a:prstGeom prst="rect">
          <a:avLst/>
        </a:prstGeom>
      </xdr:spPr>
    </xdr:pic>
    <xdr:clientData/>
  </xdr:twoCellAnchor>
  <xdr:twoCellAnchor>
    <xdr:from>
      <xdr:col>29</xdr:col>
      <xdr:colOff>136222</xdr:colOff>
      <xdr:row>13</xdr:row>
      <xdr:rowOff>181728</xdr:rowOff>
    </xdr:from>
    <xdr:to>
      <xdr:col>32</xdr:col>
      <xdr:colOff>514975</xdr:colOff>
      <xdr:row>21</xdr:row>
      <xdr:rowOff>95692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8A75E0D-C006-40C0-8676-52971B1BA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281472" y="2686803"/>
          <a:ext cx="2350428" cy="1476064"/>
        </a:xfrm>
        <a:prstGeom prst="rect">
          <a:avLst/>
        </a:prstGeom>
      </xdr:spPr>
    </xdr:pic>
    <xdr:clientData/>
  </xdr:twoCellAnchor>
  <xdr:twoCellAnchor>
    <xdr:from>
      <xdr:col>27</xdr:col>
      <xdr:colOff>7356</xdr:colOff>
      <xdr:row>13</xdr:row>
      <xdr:rowOff>7500</xdr:rowOff>
    </xdr:from>
    <xdr:to>
      <xdr:col>29</xdr:col>
      <xdr:colOff>154391</xdr:colOff>
      <xdr:row>28</xdr:row>
      <xdr:rowOff>23540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F6B1C0A-710B-462F-95FF-B3DAF3137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838156" y="2512575"/>
          <a:ext cx="1461485" cy="2940215"/>
        </a:xfrm>
        <a:prstGeom prst="rect">
          <a:avLst/>
        </a:prstGeom>
      </xdr:spPr>
    </xdr:pic>
    <xdr:clientData/>
  </xdr:twoCellAnchor>
  <xdr:twoCellAnchor>
    <xdr:from>
      <xdr:col>23</xdr:col>
      <xdr:colOff>121606</xdr:colOff>
      <xdr:row>13</xdr:row>
      <xdr:rowOff>47154</xdr:rowOff>
    </xdr:from>
    <xdr:to>
      <xdr:col>27</xdr:col>
      <xdr:colOff>37960</xdr:colOff>
      <xdr:row>28</xdr:row>
      <xdr:rowOff>16188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6EB7A9B6-8A1E-4D70-A97F-60F6013FF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256831" y="2552229"/>
          <a:ext cx="2611929" cy="2893209"/>
        </a:xfrm>
        <a:prstGeom prst="rect">
          <a:avLst/>
        </a:prstGeom>
      </xdr:spPr>
    </xdr:pic>
    <xdr:clientData/>
  </xdr:twoCellAnchor>
  <xdr:twoCellAnchor>
    <xdr:from>
      <xdr:col>17</xdr:col>
      <xdr:colOff>343681</xdr:colOff>
      <xdr:row>17</xdr:row>
      <xdr:rowOff>152400</xdr:rowOff>
    </xdr:from>
    <xdr:to>
      <xdr:col>20</xdr:col>
      <xdr:colOff>219075</xdr:colOff>
      <xdr:row>19</xdr:row>
      <xdr:rowOff>93203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895099A6-60C5-4D0A-8A82-29326A3303FB}"/>
            </a:ext>
          </a:extLst>
        </xdr:cNvPr>
        <xdr:cNvCxnSpPr/>
      </xdr:nvCxnSpPr>
      <xdr:spPr>
        <a:xfrm flipV="1">
          <a:off x="11535556" y="3438525"/>
          <a:ext cx="1847069" cy="321803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590358</xdr:colOff>
      <xdr:row>34</xdr:row>
      <xdr:rowOff>46761</xdr:rowOff>
    </xdr:from>
    <xdr:to>
      <xdr:col>26</xdr:col>
      <xdr:colOff>319175</xdr:colOff>
      <xdr:row>36</xdr:row>
      <xdr:rowOff>97993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141F3135-CE8B-4961-81F8-884DA3E016CB}"/>
            </a:ext>
          </a:extLst>
        </xdr:cNvPr>
        <xdr:cNvSpPr/>
      </xdr:nvSpPr>
      <xdr:spPr>
        <a:xfrm>
          <a:off x="17040033" y="6619011"/>
          <a:ext cx="452717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416016</xdr:colOff>
      <xdr:row>34</xdr:row>
      <xdr:rowOff>62820</xdr:rowOff>
    </xdr:from>
    <xdr:to>
      <xdr:col>27</xdr:col>
      <xdr:colOff>216454</xdr:colOff>
      <xdr:row>36</xdr:row>
      <xdr:rowOff>114052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DA743C6E-35BD-445E-B3CF-47415ACF4943}"/>
            </a:ext>
          </a:extLst>
        </xdr:cNvPr>
        <xdr:cNvSpPr/>
      </xdr:nvSpPr>
      <xdr:spPr>
        <a:xfrm>
          <a:off x="17589591" y="6635070"/>
          <a:ext cx="457663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584009</xdr:colOff>
      <xdr:row>31</xdr:row>
      <xdr:rowOff>101335</xdr:rowOff>
    </xdr:from>
    <xdr:to>
      <xdr:col>26</xdr:col>
      <xdr:colOff>312826</xdr:colOff>
      <xdr:row>33</xdr:row>
      <xdr:rowOff>143806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ABA28D08-B025-46CA-A98F-C24DEB2B3637}"/>
            </a:ext>
          </a:extLst>
        </xdr:cNvPr>
        <xdr:cNvSpPr/>
      </xdr:nvSpPr>
      <xdr:spPr>
        <a:xfrm>
          <a:off x="17033684" y="6102085"/>
          <a:ext cx="452717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409665</xdr:colOff>
      <xdr:row>31</xdr:row>
      <xdr:rowOff>95495</xdr:rowOff>
    </xdr:from>
    <xdr:to>
      <xdr:col>27</xdr:col>
      <xdr:colOff>210103</xdr:colOff>
      <xdr:row>33</xdr:row>
      <xdr:rowOff>137966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19B5C6CA-0920-4B7E-A946-DE7FB7B89DC4}"/>
            </a:ext>
          </a:extLst>
        </xdr:cNvPr>
        <xdr:cNvSpPr/>
      </xdr:nvSpPr>
      <xdr:spPr>
        <a:xfrm>
          <a:off x="17583240" y="6096245"/>
          <a:ext cx="457663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577658</xdr:colOff>
      <xdr:row>28</xdr:row>
      <xdr:rowOff>163209</xdr:rowOff>
    </xdr:from>
    <xdr:to>
      <xdr:col>26</xdr:col>
      <xdr:colOff>306475</xdr:colOff>
      <xdr:row>31</xdr:row>
      <xdr:rowOff>15180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B5A5B7CF-0BDD-48E3-B9BC-88CDB12ABBC2}"/>
            </a:ext>
          </a:extLst>
        </xdr:cNvPr>
        <xdr:cNvSpPr/>
      </xdr:nvSpPr>
      <xdr:spPr>
        <a:xfrm>
          <a:off x="17027333" y="5592459"/>
          <a:ext cx="452717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395377</xdr:colOff>
      <xdr:row>28</xdr:row>
      <xdr:rowOff>150064</xdr:rowOff>
    </xdr:from>
    <xdr:to>
      <xdr:col>27</xdr:col>
      <xdr:colOff>195815</xdr:colOff>
      <xdr:row>31</xdr:row>
      <xdr:rowOff>2035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AC3925F8-F1F1-4B4F-BB6C-E591E79888C6}"/>
            </a:ext>
          </a:extLst>
        </xdr:cNvPr>
        <xdr:cNvSpPr/>
      </xdr:nvSpPr>
      <xdr:spPr>
        <a:xfrm>
          <a:off x="17568952" y="5579314"/>
          <a:ext cx="457663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382867</xdr:colOff>
      <xdr:row>31</xdr:row>
      <xdr:rowOff>123237</xdr:rowOff>
    </xdr:from>
    <xdr:to>
      <xdr:col>25</xdr:col>
      <xdr:colOff>245676</xdr:colOff>
      <xdr:row>31</xdr:row>
      <xdr:rowOff>123238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68779F2A-41EC-4452-A451-38C49E8F49D0}"/>
            </a:ext>
          </a:extLst>
        </xdr:cNvPr>
        <xdr:cNvCxnSpPr/>
      </xdr:nvCxnSpPr>
      <xdr:spPr>
        <a:xfrm flipV="1">
          <a:off x="16175317" y="6123987"/>
          <a:ext cx="520034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507193</xdr:colOff>
      <xdr:row>30</xdr:row>
      <xdr:rowOff>80094</xdr:rowOff>
    </xdr:from>
    <xdr:to>
      <xdr:col>24</xdr:col>
      <xdr:colOff>343177</xdr:colOff>
      <xdr:row>30</xdr:row>
      <xdr:rowOff>80095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DFBB838E-EB59-48D1-B4DA-C2DCB5C87703}"/>
            </a:ext>
          </a:extLst>
        </xdr:cNvPr>
        <xdr:cNvCxnSpPr/>
      </xdr:nvCxnSpPr>
      <xdr:spPr>
        <a:xfrm flipV="1">
          <a:off x="15642418" y="5890344"/>
          <a:ext cx="493209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384454</xdr:colOff>
      <xdr:row>30</xdr:row>
      <xdr:rowOff>81556</xdr:rowOff>
    </xdr:from>
    <xdr:to>
      <xdr:col>25</xdr:col>
      <xdr:colOff>247263</xdr:colOff>
      <xdr:row>30</xdr:row>
      <xdr:rowOff>81557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9C9CAF64-BD50-41B7-8212-C8EA8ECF5CC1}"/>
            </a:ext>
          </a:extLst>
        </xdr:cNvPr>
        <xdr:cNvCxnSpPr/>
      </xdr:nvCxnSpPr>
      <xdr:spPr>
        <a:xfrm flipV="1">
          <a:off x="16176904" y="5891806"/>
          <a:ext cx="520034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495173</xdr:colOff>
      <xdr:row>29</xdr:row>
      <xdr:rowOff>31114</xdr:rowOff>
    </xdr:from>
    <xdr:to>
      <xdr:col>24</xdr:col>
      <xdr:colOff>344764</xdr:colOff>
      <xdr:row>29</xdr:row>
      <xdr:rowOff>31115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10E0CB2F-24E8-431A-A88C-61D1E6B04E4F}"/>
            </a:ext>
          </a:extLst>
        </xdr:cNvPr>
        <xdr:cNvCxnSpPr/>
      </xdr:nvCxnSpPr>
      <xdr:spPr>
        <a:xfrm flipV="1">
          <a:off x="15630398" y="5650864"/>
          <a:ext cx="506816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386042</xdr:colOff>
      <xdr:row>29</xdr:row>
      <xdr:rowOff>32576</xdr:rowOff>
    </xdr:from>
    <xdr:to>
      <xdr:col>25</xdr:col>
      <xdr:colOff>248851</xdr:colOff>
      <xdr:row>29</xdr:row>
      <xdr:rowOff>32577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18A0A528-B98C-42BB-8AD6-84A8027FF2BA}"/>
            </a:ext>
          </a:extLst>
        </xdr:cNvPr>
        <xdr:cNvCxnSpPr/>
      </xdr:nvCxnSpPr>
      <xdr:spPr>
        <a:xfrm flipV="1">
          <a:off x="16178492" y="5652326"/>
          <a:ext cx="520034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88679</xdr:colOff>
      <xdr:row>45</xdr:row>
      <xdr:rowOff>9525</xdr:rowOff>
    </xdr:from>
    <xdr:to>
      <xdr:col>22</xdr:col>
      <xdr:colOff>558165</xdr:colOff>
      <xdr:row>50</xdr:row>
      <xdr:rowOff>166275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F637B7D5-7451-496A-AF04-AEA576598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909454" y="8696325"/>
          <a:ext cx="1126711" cy="1128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98533</xdr:colOff>
      <xdr:row>45</xdr:row>
      <xdr:rowOff>14968</xdr:rowOff>
    </xdr:from>
    <xdr:to>
      <xdr:col>20</xdr:col>
      <xdr:colOff>566348</xdr:colOff>
      <xdr:row>50</xdr:row>
      <xdr:rowOff>174042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81EA2D3D-CD38-48A0-9EF8-289E5528F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04858" y="8701768"/>
          <a:ext cx="1125040" cy="1130624"/>
        </a:xfrm>
        <a:prstGeom prst="rect">
          <a:avLst/>
        </a:prstGeom>
      </xdr:spPr>
    </xdr:pic>
    <xdr:clientData/>
  </xdr:twoCellAnchor>
  <xdr:twoCellAnchor>
    <xdr:from>
      <xdr:col>14</xdr:col>
      <xdr:colOff>285749</xdr:colOff>
      <xdr:row>16</xdr:row>
      <xdr:rowOff>19050</xdr:rowOff>
    </xdr:from>
    <xdr:to>
      <xdr:col>17</xdr:col>
      <xdr:colOff>352425</xdr:colOff>
      <xdr:row>23</xdr:row>
      <xdr:rowOff>172573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FE49EF-106A-4D4A-9225-20C11D8A9CDF}"/>
            </a:ext>
          </a:extLst>
        </xdr:cNvPr>
        <xdr:cNvSpPr/>
      </xdr:nvSpPr>
      <xdr:spPr>
        <a:xfrm>
          <a:off x="9505949" y="3114675"/>
          <a:ext cx="2038351" cy="1515598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Front view</a:t>
          </a:r>
          <a:r>
            <a:rPr lang="en-US" sz="1200" b="1" baseline="0"/>
            <a:t> for X datum only!! Use gauge pin to find center of thru hole in X then move the distance provided to set X ZERO. Verify distance with print!</a:t>
          </a:r>
          <a:endParaRPr lang="en-US" sz="1200" b="1"/>
        </a:p>
      </xdr:txBody>
    </xdr:sp>
    <xdr:clientData/>
  </xdr:twoCellAnchor>
  <xdr:twoCellAnchor>
    <xdr:from>
      <xdr:col>16</xdr:col>
      <xdr:colOff>377196</xdr:colOff>
      <xdr:row>9</xdr:row>
      <xdr:rowOff>160802</xdr:rowOff>
    </xdr:from>
    <xdr:to>
      <xdr:col>18</xdr:col>
      <xdr:colOff>19050</xdr:colOff>
      <xdr:row>11</xdr:row>
      <xdr:rowOff>133350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61D8A420-5AAD-4699-BEA5-30CB78C41A04}"/>
            </a:ext>
          </a:extLst>
        </xdr:cNvPr>
        <xdr:cNvSpPr/>
      </xdr:nvSpPr>
      <xdr:spPr>
        <a:xfrm>
          <a:off x="10911846" y="1884827"/>
          <a:ext cx="956304" cy="353548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Top</a:t>
          </a:r>
          <a:r>
            <a:rPr lang="en-US" sz="1600" b="1" baseline="0"/>
            <a:t> </a:t>
          </a:r>
          <a:endParaRPr lang="en-US" sz="1600" b="1"/>
        </a:p>
      </xdr:txBody>
    </xdr:sp>
    <xdr:clientData/>
  </xdr:twoCellAnchor>
  <xdr:twoCellAnchor editAs="oneCell">
    <xdr:from>
      <xdr:col>13</xdr:col>
      <xdr:colOff>304800</xdr:colOff>
      <xdr:row>3</xdr:row>
      <xdr:rowOff>66463</xdr:rowOff>
    </xdr:from>
    <xdr:to>
      <xdr:col>21</xdr:col>
      <xdr:colOff>238125</xdr:colOff>
      <xdr:row>9</xdr:row>
      <xdr:rowOff>85955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C7D1FBB-188F-CBAE-7535-1BF6D20FE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867775" y="618913"/>
          <a:ext cx="5191125" cy="1191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26</xdr:row>
      <xdr:rowOff>85725</xdr:rowOff>
    </xdr:from>
    <xdr:to>
      <xdr:col>7</xdr:col>
      <xdr:colOff>514928</xdr:colOff>
      <xdr:row>44</xdr:row>
      <xdr:rowOff>67151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C25C69-B356-3D1D-4008-080279067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5067300"/>
          <a:ext cx="4143953" cy="341042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409575</xdr:colOff>
      <xdr:row>3</xdr:row>
      <xdr:rowOff>57150</xdr:rowOff>
    </xdr:from>
    <xdr:to>
      <xdr:col>18</xdr:col>
      <xdr:colOff>314862</xdr:colOff>
      <xdr:row>11</xdr:row>
      <xdr:rowOff>19261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D19DE529-61AE-E243-1FCD-A414E056E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5325" y="609600"/>
          <a:ext cx="3848637" cy="1514686"/>
        </a:xfrm>
        <a:prstGeom prst="rect">
          <a:avLst/>
        </a:prstGeom>
      </xdr:spPr>
    </xdr:pic>
    <xdr:clientData/>
  </xdr:twoCellAnchor>
  <xdr:twoCellAnchor>
    <xdr:from>
      <xdr:col>23</xdr:col>
      <xdr:colOff>111377</xdr:colOff>
      <xdr:row>0</xdr:row>
      <xdr:rowOff>13145</xdr:rowOff>
    </xdr:from>
    <xdr:to>
      <xdr:col>24</xdr:col>
      <xdr:colOff>566655</xdr:colOff>
      <xdr:row>12</xdr:row>
      <xdr:rowOff>167049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D5BC5A7-E140-4444-9FF0-0635E9BE5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6602" y="13145"/>
          <a:ext cx="1112503" cy="2458954"/>
        </a:xfrm>
        <a:prstGeom prst="rect">
          <a:avLst/>
        </a:prstGeom>
      </xdr:spPr>
    </xdr:pic>
    <xdr:clientData/>
  </xdr:twoCellAnchor>
  <xdr:twoCellAnchor>
    <xdr:from>
      <xdr:col>24</xdr:col>
      <xdr:colOff>638665</xdr:colOff>
      <xdr:row>0</xdr:row>
      <xdr:rowOff>2</xdr:rowOff>
    </xdr:from>
    <xdr:to>
      <xdr:col>26</xdr:col>
      <xdr:colOff>395011</xdr:colOff>
      <xdr:row>12</xdr:row>
      <xdr:rowOff>148691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FDCA0F-6035-441F-9A67-5E6A71A2B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31115" y="2"/>
          <a:ext cx="1137471" cy="2453739"/>
        </a:xfrm>
        <a:prstGeom prst="rect">
          <a:avLst/>
        </a:prstGeom>
      </xdr:spPr>
    </xdr:pic>
    <xdr:clientData/>
  </xdr:twoCellAnchor>
  <xdr:twoCellAnchor>
    <xdr:from>
      <xdr:col>26</xdr:col>
      <xdr:colOff>456773</xdr:colOff>
      <xdr:row>9</xdr:row>
      <xdr:rowOff>49548</xdr:rowOff>
    </xdr:from>
    <xdr:to>
      <xdr:col>27</xdr:col>
      <xdr:colOff>97558</xdr:colOff>
      <xdr:row>12</xdr:row>
      <xdr:rowOff>47746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794C545-646C-47C2-AA1A-524450967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0348" y="1773573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174476</xdr:colOff>
      <xdr:row>9</xdr:row>
      <xdr:rowOff>43706</xdr:rowOff>
    </xdr:from>
    <xdr:to>
      <xdr:col>27</xdr:col>
      <xdr:colOff>477167</xdr:colOff>
      <xdr:row>12</xdr:row>
      <xdr:rowOff>41904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C34A25-8280-48EA-802F-57DD9AFE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5276" y="1767731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168125</xdr:colOff>
      <xdr:row>6</xdr:row>
      <xdr:rowOff>63998</xdr:rowOff>
    </xdr:from>
    <xdr:to>
      <xdr:col>27</xdr:col>
      <xdr:colOff>470816</xdr:colOff>
      <xdr:row>9</xdr:row>
      <xdr:rowOff>62196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7522D85-1EB2-4B24-B86B-3A8B63A7C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8925" y="1206998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161775</xdr:colOff>
      <xdr:row>3</xdr:row>
      <xdr:rowOff>28104</xdr:rowOff>
    </xdr:from>
    <xdr:to>
      <xdr:col>27</xdr:col>
      <xdr:colOff>464466</xdr:colOff>
      <xdr:row>6</xdr:row>
      <xdr:rowOff>16777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17A497-5798-46CC-94DB-B5015C9D5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2575" y="580554"/>
          <a:ext cx="302691" cy="579223"/>
        </a:xfrm>
        <a:prstGeom prst="rect">
          <a:avLst/>
        </a:prstGeom>
      </xdr:spPr>
    </xdr:pic>
    <xdr:clientData/>
  </xdr:twoCellAnchor>
  <xdr:twoCellAnchor>
    <xdr:from>
      <xdr:col>26</xdr:col>
      <xdr:colOff>486935</xdr:colOff>
      <xdr:row>3</xdr:row>
      <xdr:rowOff>29563</xdr:rowOff>
    </xdr:from>
    <xdr:to>
      <xdr:col>27</xdr:col>
      <xdr:colOff>127720</xdr:colOff>
      <xdr:row>6</xdr:row>
      <xdr:rowOff>18236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07264B1-B8AA-43E9-A167-845C51A34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510" y="582013"/>
          <a:ext cx="298010" cy="579223"/>
        </a:xfrm>
        <a:prstGeom prst="rect">
          <a:avLst/>
        </a:prstGeom>
      </xdr:spPr>
    </xdr:pic>
    <xdr:clientData/>
  </xdr:twoCellAnchor>
  <xdr:twoCellAnchor>
    <xdr:from>
      <xdr:col>26</xdr:col>
      <xdr:colOff>472648</xdr:colOff>
      <xdr:row>6</xdr:row>
      <xdr:rowOff>46475</xdr:rowOff>
    </xdr:from>
    <xdr:to>
      <xdr:col>27</xdr:col>
      <xdr:colOff>113433</xdr:colOff>
      <xdr:row>9</xdr:row>
      <xdr:rowOff>44673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AF4CC4B-3CBE-4E25-A996-E7821D734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223" y="1189475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527198</xdr:colOff>
      <xdr:row>10</xdr:row>
      <xdr:rowOff>60581</xdr:rowOff>
    </xdr:from>
    <xdr:to>
      <xdr:col>28</xdr:col>
      <xdr:colOff>244344</xdr:colOff>
      <xdr:row>11</xdr:row>
      <xdr:rowOff>106620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C7A5E60-8260-459D-A732-229715260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8" y="1975106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528786</xdr:colOff>
      <xdr:row>3</xdr:row>
      <xdr:rowOff>175607</xdr:rowOff>
    </xdr:from>
    <xdr:to>
      <xdr:col>28</xdr:col>
      <xdr:colOff>245932</xdr:colOff>
      <xdr:row>5</xdr:row>
      <xdr:rowOff>21621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31FC42D-5082-4E38-8E8B-08C63EFE8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9586" y="728057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530373</xdr:colOff>
      <xdr:row>5</xdr:row>
      <xdr:rowOff>34784</xdr:rowOff>
    </xdr:from>
    <xdr:to>
      <xdr:col>28</xdr:col>
      <xdr:colOff>247519</xdr:colOff>
      <xdr:row>6</xdr:row>
      <xdr:rowOff>71298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C353692-9CA8-47D3-B503-663B0210B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61173" y="977759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524024</xdr:colOff>
      <xdr:row>7</xdr:row>
      <xdr:rowOff>132677</xdr:rowOff>
    </xdr:from>
    <xdr:to>
      <xdr:col>28</xdr:col>
      <xdr:colOff>241170</xdr:colOff>
      <xdr:row>8</xdr:row>
      <xdr:rowOff>178716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C94EFDE-17BC-4732-B4C0-33579135B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4824" y="1475702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525612</xdr:colOff>
      <xdr:row>6</xdr:row>
      <xdr:rowOff>85920</xdr:rowOff>
    </xdr:from>
    <xdr:to>
      <xdr:col>28</xdr:col>
      <xdr:colOff>242758</xdr:colOff>
      <xdr:row>7</xdr:row>
      <xdr:rowOff>122434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7F9B902-4B39-4DC5-BA7B-2FA0C1D7C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6412" y="1228920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527199</xdr:colOff>
      <xdr:row>9</xdr:row>
      <xdr:rowOff>2839</xdr:rowOff>
    </xdr:from>
    <xdr:to>
      <xdr:col>28</xdr:col>
      <xdr:colOff>244345</xdr:colOff>
      <xdr:row>10</xdr:row>
      <xdr:rowOff>48878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E025198-3766-4F5B-8723-2EED45431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9" y="1726864"/>
          <a:ext cx="374371" cy="236539"/>
        </a:xfrm>
        <a:prstGeom prst="rect">
          <a:avLst/>
        </a:prstGeom>
      </xdr:spPr>
    </xdr:pic>
    <xdr:clientData/>
  </xdr:twoCellAnchor>
  <xdr:twoCellAnchor>
    <xdr:from>
      <xdr:col>28</xdr:col>
      <xdr:colOff>474537</xdr:colOff>
      <xdr:row>0</xdr:row>
      <xdr:rowOff>27746</xdr:rowOff>
    </xdr:from>
    <xdr:to>
      <xdr:col>30</xdr:col>
      <xdr:colOff>413338</xdr:colOff>
      <xdr:row>5</xdr:row>
      <xdr:rowOff>108165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8722EC8-8886-4136-BCB7-7A8E1843A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62562" y="27746"/>
          <a:ext cx="1253251" cy="1023394"/>
        </a:xfrm>
        <a:prstGeom prst="rect">
          <a:avLst/>
        </a:prstGeom>
      </xdr:spPr>
    </xdr:pic>
    <xdr:clientData/>
  </xdr:twoCellAnchor>
  <xdr:twoCellAnchor>
    <xdr:from>
      <xdr:col>30</xdr:col>
      <xdr:colOff>478427</xdr:colOff>
      <xdr:row>0</xdr:row>
      <xdr:rowOff>29207</xdr:rowOff>
    </xdr:from>
    <xdr:to>
      <xdr:col>32</xdr:col>
      <xdr:colOff>422896</xdr:colOff>
      <xdr:row>5</xdr:row>
      <xdr:rowOff>109626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AA44195-06D5-49E2-A57D-B212E4B87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280902" y="29207"/>
          <a:ext cx="1258919" cy="1023394"/>
        </a:xfrm>
        <a:prstGeom prst="rect">
          <a:avLst/>
        </a:prstGeom>
      </xdr:spPr>
    </xdr:pic>
    <xdr:clientData/>
  </xdr:twoCellAnchor>
  <xdr:twoCellAnchor>
    <xdr:from>
      <xdr:col>28</xdr:col>
      <xdr:colOff>450723</xdr:colOff>
      <xdr:row>7</xdr:row>
      <xdr:rowOff>72787</xdr:rowOff>
    </xdr:from>
    <xdr:to>
      <xdr:col>29</xdr:col>
      <xdr:colOff>176244</xdr:colOff>
      <xdr:row>9</xdr:row>
      <xdr:rowOff>151178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A6C358A-6AB7-4593-8581-BFC778C01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8748" y="1415812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209249</xdr:colOff>
      <xdr:row>7</xdr:row>
      <xdr:rowOff>81549</xdr:rowOff>
    </xdr:from>
    <xdr:to>
      <xdr:col>29</xdr:col>
      <xdr:colOff>591480</xdr:colOff>
      <xdr:row>9</xdr:row>
      <xdr:rowOff>159940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5336F28-0440-4674-8583-9117C0960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54499" y="1424574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632420</xdr:colOff>
      <xdr:row>7</xdr:row>
      <xdr:rowOff>75708</xdr:rowOff>
    </xdr:from>
    <xdr:to>
      <xdr:col>30</xdr:col>
      <xdr:colOff>369220</xdr:colOff>
      <xdr:row>9</xdr:row>
      <xdr:rowOff>154099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BCF4F7F3-21F0-4BF8-BF50-D6ED4FC40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7670" y="1418733"/>
          <a:ext cx="394025" cy="459391"/>
        </a:xfrm>
        <a:prstGeom prst="rect">
          <a:avLst/>
        </a:prstGeom>
      </xdr:spPr>
    </xdr:pic>
    <xdr:clientData/>
  </xdr:twoCellAnchor>
  <xdr:twoCellAnchor>
    <xdr:from>
      <xdr:col>28</xdr:col>
      <xdr:colOff>444373</xdr:colOff>
      <xdr:row>9</xdr:row>
      <xdr:rowOff>189731</xdr:rowOff>
    </xdr:from>
    <xdr:to>
      <xdr:col>29</xdr:col>
      <xdr:colOff>169894</xdr:colOff>
      <xdr:row>12</xdr:row>
      <xdr:rowOff>68097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8496201-156D-4D28-AEC5-63AF04860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2398" y="1913756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202899</xdr:colOff>
      <xdr:row>10</xdr:row>
      <xdr:rowOff>7992</xdr:rowOff>
    </xdr:from>
    <xdr:to>
      <xdr:col>29</xdr:col>
      <xdr:colOff>585130</xdr:colOff>
      <xdr:row>12</xdr:row>
      <xdr:rowOff>76858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FD9B684D-5AD1-4B93-9941-40027EACF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48149" y="1922517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626070</xdr:colOff>
      <xdr:row>10</xdr:row>
      <xdr:rowOff>2152</xdr:rowOff>
    </xdr:from>
    <xdr:to>
      <xdr:col>30</xdr:col>
      <xdr:colOff>362870</xdr:colOff>
      <xdr:row>12</xdr:row>
      <xdr:rowOff>71018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C69DA61-F310-4E62-BCFA-8775ADFF9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1320" y="1916677"/>
          <a:ext cx="394025" cy="459391"/>
        </a:xfrm>
        <a:prstGeom prst="rect">
          <a:avLst/>
        </a:prstGeom>
      </xdr:spPr>
    </xdr:pic>
    <xdr:clientData/>
  </xdr:twoCellAnchor>
  <xdr:twoCellAnchor>
    <xdr:from>
      <xdr:col>31</xdr:col>
      <xdr:colOff>80696</xdr:colOff>
      <xdr:row>7</xdr:row>
      <xdr:rowOff>69795</xdr:rowOff>
    </xdr:from>
    <xdr:to>
      <xdr:col>33</xdr:col>
      <xdr:colOff>122687</xdr:colOff>
      <xdr:row>8</xdr:row>
      <xdr:rowOff>79421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A433910A-0A1C-4FE6-8661-2F498E7966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0396" y="1412820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74346</xdr:colOff>
      <xdr:row>8</xdr:row>
      <xdr:rowOff>107093</xdr:rowOff>
    </xdr:from>
    <xdr:to>
      <xdr:col>33</xdr:col>
      <xdr:colOff>116337</xdr:colOff>
      <xdr:row>9</xdr:row>
      <xdr:rowOff>116719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321AA87-EE86-4EEB-B295-3CAB201784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4046" y="1640618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83871</xdr:colOff>
      <xdr:row>9</xdr:row>
      <xdr:rowOff>137090</xdr:rowOff>
    </xdr:from>
    <xdr:to>
      <xdr:col>33</xdr:col>
      <xdr:colOff>125862</xdr:colOff>
      <xdr:row>10</xdr:row>
      <xdr:rowOff>146716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320483D8-90C8-46D4-849E-C9454EA9E7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3571" y="1861115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77521</xdr:colOff>
      <xdr:row>10</xdr:row>
      <xdr:rowOff>167088</xdr:rowOff>
    </xdr:from>
    <xdr:to>
      <xdr:col>33</xdr:col>
      <xdr:colOff>119512</xdr:colOff>
      <xdr:row>11</xdr:row>
      <xdr:rowOff>176714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4692861-CD81-49D4-AC67-9FEF15F1A2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7221" y="2081613"/>
          <a:ext cx="1356441" cy="200126"/>
        </a:xfrm>
        <a:prstGeom prst="rect">
          <a:avLst/>
        </a:prstGeom>
      </xdr:spPr>
    </xdr:pic>
    <xdr:clientData/>
  </xdr:twoCellAnchor>
  <xdr:twoCellAnchor>
    <xdr:from>
      <xdr:col>29</xdr:col>
      <xdr:colOff>136222</xdr:colOff>
      <xdr:row>13</xdr:row>
      <xdr:rowOff>181728</xdr:rowOff>
    </xdr:from>
    <xdr:to>
      <xdr:col>32</xdr:col>
      <xdr:colOff>514975</xdr:colOff>
      <xdr:row>21</xdr:row>
      <xdr:rowOff>95692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F809D7D-0E60-44ED-8B7E-88045FE86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281472" y="2686803"/>
          <a:ext cx="2350428" cy="1476064"/>
        </a:xfrm>
        <a:prstGeom prst="rect">
          <a:avLst/>
        </a:prstGeom>
      </xdr:spPr>
    </xdr:pic>
    <xdr:clientData/>
  </xdr:twoCellAnchor>
  <xdr:twoCellAnchor>
    <xdr:from>
      <xdr:col>27</xdr:col>
      <xdr:colOff>7356</xdr:colOff>
      <xdr:row>13</xdr:row>
      <xdr:rowOff>7500</xdr:rowOff>
    </xdr:from>
    <xdr:to>
      <xdr:col>29</xdr:col>
      <xdr:colOff>154391</xdr:colOff>
      <xdr:row>28</xdr:row>
      <xdr:rowOff>23540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D79D4E43-A807-4BE3-8DC2-7A3BF097B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838156" y="2512575"/>
          <a:ext cx="1461485" cy="2940215"/>
        </a:xfrm>
        <a:prstGeom prst="rect">
          <a:avLst/>
        </a:prstGeom>
      </xdr:spPr>
    </xdr:pic>
    <xdr:clientData/>
  </xdr:twoCellAnchor>
  <xdr:twoCellAnchor>
    <xdr:from>
      <xdr:col>23</xdr:col>
      <xdr:colOff>121606</xdr:colOff>
      <xdr:row>13</xdr:row>
      <xdr:rowOff>47154</xdr:rowOff>
    </xdr:from>
    <xdr:to>
      <xdr:col>27</xdr:col>
      <xdr:colOff>37960</xdr:colOff>
      <xdr:row>28</xdr:row>
      <xdr:rowOff>16188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FF2573F3-7757-48D6-AEF1-A8F84EF1F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256831" y="2552229"/>
          <a:ext cx="2611929" cy="2893209"/>
        </a:xfrm>
        <a:prstGeom prst="rect">
          <a:avLst/>
        </a:prstGeom>
      </xdr:spPr>
    </xdr:pic>
    <xdr:clientData/>
  </xdr:twoCellAnchor>
  <xdr:twoCellAnchor>
    <xdr:from>
      <xdr:col>25</xdr:col>
      <xdr:colOff>590358</xdr:colOff>
      <xdr:row>34</xdr:row>
      <xdr:rowOff>46761</xdr:rowOff>
    </xdr:from>
    <xdr:to>
      <xdr:col>26</xdr:col>
      <xdr:colOff>319175</xdr:colOff>
      <xdr:row>36</xdr:row>
      <xdr:rowOff>97993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14EB1475-B87B-4D14-8D4D-C02B03BFC68B}"/>
            </a:ext>
          </a:extLst>
        </xdr:cNvPr>
        <xdr:cNvSpPr/>
      </xdr:nvSpPr>
      <xdr:spPr>
        <a:xfrm>
          <a:off x="17040033" y="6619011"/>
          <a:ext cx="452717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416016</xdr:colOff>
      <xdr:row>34</xdr:row>
      <xdr:rowOff>62820</xdr:rowOff>
    </xdr:from>
    <xdr:to>
      <xdr:col>27</xdr:col>
      <xdr:colOff>216454</xdr:colOff>
      <xdr:row>36</xdr:row>
      <xdr:rowOff>114052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ADD3F8A7-76AC-4688-A0C6-8252A14540B8}"/>
            </a:ext>
          </a:extLst>
        </xdr:cNvPr>
        <xdr:cNvSpPr/>
      </xdr:nvSpPr>
      <xdr:spPr>
        <a:xfrm>
          <a:off x="17589591" y="6635070"/>
          <a:ext cx="457663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584009</xdr:colOff>
      <xdr:row>31</xdr:row>
      <xdr:rowOff>101335</xdr:rowOff>
    </xdr:from>
    <xdr:to>
      <xdr:col>26</xdr:col>
      <xdr:colOff>312826</xdr:colOff>
      <xdr:row>33</xdr:row>
      <xdr:rowOff>143806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62C3C18F-6E38-4803-BF09-B2D03313E8B7}"/>
            </a:ext>
          </a:extLst>
        </xdr:cNvPr>
        <xdr:cNvSpPr/>
      </xdr:nvSpPr>
      <xdr:spPr>
        <a:xfrm>
          <a:off x="17033684" y="6102085"/>
          <a:ext cx="452717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409665</xdr:colOff>
      <xdr:row>31</xdr:row>
      <xdr:rowOff>95495</xdr:rowOff>
    </xdr:from>
    <xdr:to>
      <xdr:col>27</xdr:col>
      <xdr:colOff>210103</xdr:colOff>
      <xdr:row>33</xdr:row>
      <xdr:rowOff>137966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55C9A5AD-C437-40A4-AB63-92A9DAD25054}"/>
            </a:ext>
          </a:extLst>
        </xdr:cNvPr>
        <xdr:cNvSpPr/>
      </xdr:nvSpPr>
      <xdr:spPr>
        <a:xfrm>
          <a:off x="17583240" y="6096245"/>
          <a:ext cx="457663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577658</xdr:colOff>
      <xdr:row>28</xdr:row>
      <xdr:rowOff>163209</xdr:rowOff>
    </xdr:from>
    <xdr:to>
      <xdr:col>26</xdr:col>
      <xdr:colOff>306475</xdr:colOff>
      <xdr:row>31</xdr:row>
      <xdr:rowOff>15180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54287A63-E42E-4FD4-8441-FBF0696F2186}"/>
            </a:ext>
          </a:extLst>
        </xdr:cNvPr>
        <xdr:cNvSpPr/>
      </xdr:nvSpPr>
      <xdr:spPr>
        <a:xfrm>
          <a:off x="17027333" y="5592459"/>
          <a:ext cx="452717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395377</xdr:colOff>
      <xdr:row>28</xdr:row>
      <xdr:rowOff>150064</xdr:rowOff>
    </xdr:from>
    <xdr:to>
      <xdr:col>27</xdr:col>
      <xdr:colOff>195815</xdr:colOff>
      <xdr:row>31</xdr:row>
      <xdr:rowOff>2035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CA76A945-98F3-4810-8781-8F7A2E56A0DE}"/>
            </a:ext>
          </a:extLst>
        </xdr:cNvPr>
        <xdr:cNvSpPr/>
      </xdr:nvSpPr>
      <xdr:spPr>
        <a:xfrm>
          <a:off x="17568952" y="5579314"/>
          <a:ext cx="457663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382867</xdr:colOff>
      <xdr:row>31</xdr:row>
      <xdr:rowOff>123237</xdr:rowOff>
    </xdr:from>
    <xdr:to>
      <xdr:col>25</xdr:col>
      <xdr:colOff>245676</xdr:colOff>
      <xdr:row>31</xdr:row>
      <xdr:rowOff>123238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BC89698-6E3C-418C-8622-7E8FEB574AC4}"/>
            </a:ext>
          </a:extLst>
        </xdr:cNvPr>
        <xdr:cNvCxnSpPr/>
      </xdr:nvCxnSpPr>
      <xdr:spPr>
        <a:xfrm flipV="1">
          <a:off x="16175317" y="6123987"/>
          <a:ext cx="520034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507193</xdr:colOff>
      <xdr:row>30</xdr:row>
      <xdr:rowOff>80094</xdr:rowOff>
    </xdr:from>
    <xdr:to>
      <xdr:col>24</xdr:col>
      <xdr:colOff>343177</xdr:colOff>
      <xdr:row>30</xdr:row>
      <xdr:rowOff>80095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CC928831-E196-4446-A88E-C7B789458347}"/>
            </a:ext>
          </a:extLst>
        </xdr:cNvPr>
        <xdr:cNvCxnSpPr/>
      </xdr:nvCxnSpPr>
      <xdr:spPr>
        <a:xfrm flipV="1">
          <a:off x="15642418" y="5890344"/>
          <a:ext cx="493209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384454</xdr:colOff>
      <xdr:row>30</xdr:row>
      <xdr:rowOff>81556</xdr:rowOff>
    </xdr:from>
    <xdr:to>
      <xdr:col>25</xdr:col>
      <xdr:colOff>247263</xdr:colOff>
      <xdr:row>30</xdr:row>
      <xdr:rowOff>81557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3ABFCD40-7E7D-4E23-9EC0-F4292D6A847E}"/>
            </a:ext>
          </a:extLst>
        </xdr:cNvPr>
        <xdr:cNvCxnSpPr/>
      </xdr:nvCxnSpPr>
      <xdr:spPr>
        <a:xfrm flipV="1">
          <a:off x="16176904" y="5891806"/>
          <a:ext cx="520034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495173</xdr:colOff>
      <xdr:row>29</xdr:row>
      <xdr:rowOff>31114</xdr:rowOff>
    </xdr:from>
    <xdr:to>
      <xdr:col>24</xdr:col>
      <xdr:colOff>344764</xdr:colOff>
      <xdr:row>29</xdr:row>
      <xdr:rowOff>31115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4F35B6B2-467E-4BC6-B729-6490C9E0860E}"/>
            </a:ext>
          </a:extLst>
        </xdr:cNvPr>
        <xdr:cNvCxnSpPr/>
      </xdr:nvCxnSpPr>
      <xdr:spPr>
        <a:xfrm flipV="1">
          <a:off x="15630398" y="5650864"/>
          <a:ext cx="506816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386042</xdr:colOff>
      <xdr:row>29</xdr:row>
      <xdr:rowOff>32576</xdr:rowOff>
    </xdr:from>
    <xdr:to>
      <xdr:col>25</xdr:col>
      <xdr:colOff>248851</xdr:colOff>
      <xdr:row>29</xdr:row>
      <xdr:rowOff>32577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25B8F206-9F93-4E2F-9E0B-C16245F698F6}"/>
            </a:ext>
          </a:extLst>
        </xdr:cNvPr>
        <xdr:cNvCxnSpPr/>
      </xdr:nvCxnSpPr>
      <xdr:spPr>
        <a:xfrm flipV="1">
          <a:off x="16178492" y="5652326"/>
          <a:ext cx="520034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88679</xdr:colOff>
      <xdr:row>45</xdr:row>
      <xdr:rowOff>9525</xdr:rowOff>
    </xdr:from>
    <xdr:to>
      <xdr:col>22</xdr:col>
      <xdr:colOff>558165</xdr:colOff>
      <xdr:row>50</xdr:row>
      <xdr:rowOff>166275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CFD75450-93C3-4C0D-A35F-53EFA142D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909454" y="8696325"/>
          <a:ext cx="1126711" cy="1128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98533</xdr:colOff>
      <xdr:row>45</xdr:row>
      <xdr:rowOff>14968</xdr:rowOff>
    </xdr:from>
    <xdr:to>
      <xdr:col>20</xdr:col>
      <xdr:colOff>566348</xdr:colOff>
      <xdr:row>50</xdr:row>
      <xdr:rowOff>174042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97FA2A7F-F92F-41CE-9EF1-39D90DA76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04858" y="8701768"/>
          <a:ext cx="1125040" cy="1130624"/>
        </a:xfrm>
        <a:prstGeom prst="rect">
          <a:avLst/>
        </a:prstGeom>
      </xdr:spPr>
    </xdr:pic>
    <xdr:clientData/>
  </xdr:twoCellAnchor>
  <xdr:twoCellAnchor>
    <xdr:from>
      <xdr:col>14</xdr:col>
      <xdr:colOff>481971</xdr:colOff>
      <xdr:row>10</xdr:row>
      <xdr:rowOff>113177</xdr:rowOff>
    </xdr:from>
    <xdr:to>
      <xdr:col>16</xdr:col>
      <xdr:colOff>85725</xdr:colOff>
      <xdr:row>12</xdr:row>
      <xdr:rowOff>47625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6CACEAD-88B0-44BB-9972-1AB0BD823B4B}"/>
            </a:ext>
          </a:extLst>
        </xdr:cNvPr>
        <xdr:cNvSpPr/>
      </xdr:nvSpPr>
      <xdr:spPr>
        <a:xfrm>
          <a:off x="9702171" y="2027702"/>
          <a:ext cx="918204" cy="324973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Top</a:t>
          </a:r>
          <a:r>
            <a:rPr lang="en-US" sz="1600" b="1" baseline="0"/>
            <a:t> </a:t>
          </a:r>
          <a:endParaRPr lang="en-US" sz="1600" b="1"/>
        </a:p>
      </xdr:txBody>
    </xdr:sp>
    <xdr:clientData/>
  </xdr:twoCellAnchor>
  <xdr:twoCellAnchor editAs="oneCell">
    <xdr:from>
      <xdr:col>18</xdr:col>
      <xdr:colOff>238125</xdr:colOff>
      <xdr:row>11</xdr:row>
      <xdr:rowOff>190501</xdr:rowOff>
    </xdr:from>
    <xdr:to>
      <xdr:col>22</xdr:col>
      <xdr:colOff>429932</xdr:colOff>
      <xdr:row>23</xdr:row>
      <xdr:rowOff>368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31474792-111D-51A3-C37B-9EBE56A54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087225" y="2295526"/>
          <a:ext cx="2820707" cy="2162542"/>
        </a:xfrm>
        <a:prstGeom prst="rect">
          <a:avLst/>
        </a:prstGeom>
      </xdr:spPr>
    </xdr:pic>
    <xdr:clientData/>
  </xdr:twoCellAnchor>
  <xdr:twoCellAnchor>
    <xdr:from>
      <xdr:col>14</xdr:col>
      <xdr:colOff>219075</xdr:colOff>
      <xdr:row>15</xdr:row>
      <xdr:rowOff>152400</xdr:rowOff>
    </xdr:from>
    <xdr:to>
      <xdr:col>17</xdr:col>
      <xdr:colOff>285751</xdr:colOff>
      <xdr:row>23</xdr:row>
      <xdr:rowOff>115423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55FD46BF-4F85-46A4-B291-96A4FA9506EF}"/>
            </a:ext>
          </a:extLst>
        </xdr:cNvPr>
        <xdr:cNvSpPr/>
      </xdr:nvSpPr>
      <xdr:spPr>
        <a:xfrm>
          <a:off x="9439275" y="3057525"/>
          <a:ext cx="2038351" cy="1515598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Front view</a:t>
          </a:r>
          <a:r>
            <a:rPr lang="en-US" sz="1200" b="1" baseline="0"/>
            <a:t> for X datum only!! Use gauge pin to find center of thru hole in X then move the distance provided to set X ZERO. Verify distance with print!</a:t>
          </a:r>
          <a:endParaRPr lang="en-US" sz="1200" b="1"/>
        </a:p>
      </xdr:txBody>
    </xdr:sp>
    <xdr:clientData/>
  </xdr:twoCellAnchor>
  <xdr:twoCellAnchor>
    <xdr:from>
      <xdr:col>17</xdr:col>
      <xdr:colOff>277006</xdr:colOff>
      <xdr:row>20</xdr:row>
      <xdr:rowOff>47625</xdr:rowOff>
    </xdr:from>
    <xdr:to>
      <xdr:col>19</xdr:col>
      <xdr:colOff>314325</xdr:colOff>
      <xdr:row>20</xdr:row>
      <xdr:rowOff>150353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F4AA5BC9-3EA4-47D6-BA4B-7440022B26BB}"/>
            </a:ext>
          </a:extLst>
        </xdr:cNvPr>
        <xdr:cNvCxnSpPr/>
      </xdr:nvCxnSpPr>
      <xdr:spPr>
        <a:xfrm flipV="1">
          <a:off x="11468881" y="3914775"/>
          <a:ext cx="1351769" cy="102728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111377</xdr:colOff>
      <xdr:row>0</xdr:row>
      <xdr:rowOff>13145</xdr:rowOff>
    </xdr:from>
    <xdr:to>
      <xdr:col>24</xdr:col>
      <xdr:colOff>566655</xdr:colOff>
      <xdr:row>12</xdr:row>
      <xdr:rowOff>167049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D61E13-0560-4E35-A971-5A7BB9AA3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6602" y="13145"/>
          <a:ext cx="1112503" cy="2458954"/>
        </a:xfrm>
        <a:prstGeom prst="rect">
          <a:avLst/>
        </a:prstGeom>
      </xdr:spPr>
    </xdr:pic>
    <xdr:clientData/>
  </xdr:twoCellAnchor>
  <xdr:twoCellAnchor>
    <xdr:from>
      <xdr:col>24</xdr:col>
      <xdr:colOff>638665</xdr:colOff>
      <xdr:row>0</xdr:row>
      <xdr:rowOff>2</xdr:rowOff>
    </xdr:from>
    <xdr:to>
      <xdr:col>26</xdr:col>
      <xdr:colOff>395011</xdr:colOff>
      <xdr:row>12</xdr:row>
      <xdr:rowOff>148691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8C8CE12-7524-4E8D-9999-96B5B1881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31115" y="2"/>
          <a:ext cx="1137471" cy="2453739"/>
        </a:xfrm>
        <a:prstGeom prst="rect">
          <a:avLst/>
        </a:prstGeom>
      </xdr:spPr>
    </xdr:pic>
    <xdr:clientData/>
  </xdr:twoCellAnchor>
  <xdr:twoCellAnchor>
    <xdr:from>
      <xdr:col>26</xdr:col>
      <xdr:colOff>456773</xdr:colOff>
      <xdr:row>9</xdr:row>
      <xdr:rowOff>49548</xdr:rowOff>
    </xdr:from>
    <xdr:to>
      <xdr:col>27</xdr:col>
      <xdr:colOff>97558</xdr:colOff>
      <xdr:row>12</xdr:row>
      <xdr:rowOff>47746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59390F-D8F3-484F-97B0-7EBA163B4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0348" y="1773573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174476</xdr:colOff>
      <xdr:row>9</xdr:row>
      <xdr:rowOff>43706</xdr:rowOff>
    </xdr:from>
    <xdr:to>
      <xdr:col>27</xdr:col>
      <xdr:colOff>477167</xdr:colOff>
      <xdr:row>12</xdr:row>
      <xdr:rowOff>41904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9BAE52-0D57-40A8-8F91-DB07F4A25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5276" y="1767731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168125</xdr:colOff>
      <xdr:row>6</xdr:row>
      <xdr:rowOff>63998</xdr:rowOff>
    </xdr:from>
    <xdr:to>
      <xdr:col>27</xdr:col>
      <xdr:colOff>470816</xdr:colOff>
      <xdr:row>9</xdr:row>
      <xdr:rowOff>62196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7980F77-9B7A-4E4B-9A7A-6D9B13AC9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8925" y="1206998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161775</xdr:colOff>
      <xdr:row>3</xdr:row>
      <xdr:rowOff>28104</xdr:rowOff>
    </xdr:from>
    <xdr:to>
      <xdr:col>27</xdr:col>
      <xdr:colOff>464466</xdr:colOff>
      <xdr:row>6</xdr:row>
      <xdr:rowOff>16777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74DEC29-36B6-410F-BBB4-382B10871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2575" y="580554"/>
          <a:ext cx="302691" cy="579223"/>
        </a:xfrm>
        <a:prstGeom prst="rect">
          <a:avLst/>
        </a:prstGeom>
      </xdr:spPr>
    </xdr:pic>
    <xdr:clientData/>
  </xdr:twoCellAnchor>
  <xdr:twoCellAnchor>
    <xdr:from>
      <xdr:col>26</xdr:col>
      <xdr:colOff>486935</xdr:colOff>
      <xdr:row>3</xdr:row>
      <xdr:rowOff>29563</xdr:rowOff>
    </xdr:from>
    <xdr:to>
      <xdr:col>27</xdr:col>
      <xdr:colOff>127720</xdr:colOff>
      <xdr:row>6</xdr:row>
      <xdr:rowOff>18236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C27A2E3-91A4-4640-A3BE-878E332C0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510" y="582013"/>
          <a:ext cx="298010" cy="579223"/>
        </a:xfrm>
        <a:prstGeom prst="rect">
          <a:avLst/>
        </a:prstGeom>
      </xdr:spPr>
    </xdr:pic>
    <xdr:clientData/>
  </xdr:twoCellAnchor>
  <xdr:twoCellAnchor>
    <xdr:from>
      <xdr:col>26</xdr:col>
      <xdr:colOff>472648</xdr:colOff>
      <xdr:row>6</xdr:row>
      <xdr:rowOff>46475</xdr:rowOff>
    </xdr:from>
    <xdr:to>
      <xdr:col>27</xdr:col>
      <xdr:colOff>113433</xdr:colOff>
      <xdr:row>9</xdr:row>
      <xdr:rowOff>44673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7B91595-59CE-4CD7-99EC-DE81EC98C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223" y="1189475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527198</xdr:colOff>
      <xdr:row>10</xdr:row>
      <xdr:rowOff>60581</xdr:rowOff>
    </xdr:from>
    <xdr:to>
      <xdr:col>28</xdr:col>
      <xdr:colOff>244344</xdr:colOff>
      <xdr:row>11</xdr:row>
      <xdr:rowOff>106620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16775CC-9C71-4095-9D0F-311C2A016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8" y="1975106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528786</xdr:colOff>
      <xdr:row>3</xdr:row>
      <xdr:rowOff>175607</xdr:rowOff>
    </xdr:from>
    <xdr:to>
      <xdr:col>28</xdr:col>
      <xdr:colOff>245932</xdr:colOff>
      <xdr:row>5</xdr:row>
      <xdr:rowOff>21621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4D791CD-9553-42F2-BE09-5433AC287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9586" y="728057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530373</xdr:colOff>
      <xdr:row>5</xdr:row>
      <xdr:rowOff>34784</xdr:rowOff>
    </xdr:from>
    <xdr:to>
      <xdr:col>28</xdr:col>
      <xdr:colOff>247519</xdr:colOff>
      <xdr:row>6</xdr:row>
      <xdr:rowOff>71298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808F06D-DC03-4CBE-A3FF-C9908CD0B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61173" y="977759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524024</xdr:colOff>
      <xdr:row>7</xdr:row>
      <xdr:rowOff>132677</xdr:rowOff>
    </xdr:from>
    <xdr:to>
      <xdr:col>28</xdr:col>
      <xdr:colOff>241170</xdr:colOff>
      <xdr:row>8</xdr:row>
      <xdr:rowOff>178716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94081A5-6E71-480E-B8E6-45EDCB003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4824" y="1475702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525612</xdr:colOff>
      <xdr:row>6</xdr:row>
      <xdr:rowOff>85920</xdr:rowOff>
    </xdr:from>
    <xdr:to>
      <xdr:col>28</xdr:col>
      <xdr:colOff>242758</xdr:colOff>
      <xdr:row>7</xdr:row>
      <xdr:rowOff>122434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D94F5D2-53FB-442D-BF62-C3685D689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6412" y="1228920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527199</xdr:colOff>
      <xdr:row>9</xdr:row>
      <xdr:rowOff>2839</xdr:rowOff>
    </xdr:from>
    <xdr:to>
      <xdr:col>28</xdr:col>
      <xdr:colOff>244345</xdr:colOff>
      <xdr:row>10</xdr:row>
      <xdr:rowOff>48878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30D3764-9EFE-47E2-B126-741B73BD7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9" y="1726864"/>
          <a:ext cx="374371" cy="236539"/>
        </a:xfrm>
        <a:prstGeom prst="rect">
          <a:avLst/>
        </a:prstGeom>
      </xdr:spPr>
    </xdr:pic>
    <xdr:clientData/>
  </xdr:twoCellAnchor>
  <xdr:twoCellAnchor>
    <xdr:from>
      <xdr:col>28</xdr:col>
      <xdr:colOff>474537</xdr:colOff>
      <xdr:row>0</xdr:row>
      <xdr:rowOff>27746</xdr:rowOff>
    </xdr:from>
    <xdr:to>
      <xdr:col>30</xdr:col>
      <xdr:colOff>413338</xdr:colOff>
      <xdr:row>5</xdr:row>
      <xdr:rowOff>108165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C25778F-D8E0-4594-AC51-1A678AE75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62562" y="27746"/>
          <a:ext cx="1253251" cy="1023394"/>
        </a:xfrm>
        <a:prstGeom prst="rect">
          <a:avLst/>
        </a:prstGeom>
      </xdr:spPr>
    </xdr:pic>
    <xdr:clientData/>
  </xdr:twoCellAnchor>
  <xdr:twoCellAnchor>
    <xdr:from>
      <xdr:col>30</xdr:col>
      <xdr:colOff>478427</xdr:colOff>
      <xdr:row>0</xdr:row>
      <xdr:rowOff>29207</xdr:rowOff>
    </xdr:from>
    <xdr:to>
      <xdr:col>32</xdr:col>
      <xdr:colOff>422896</xdr:colOff>
      <xdr:row>5</xdr:row>
      <xdr:rowOff>109626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F278815-1B1C-4E5C-A037-6D4525A84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280902" y="29207"/>
          <a:ext cx="1258919" cy="1023394"/>
        </a:xfrm>
        <a:prstGeom prst="rect">
          <a:avLst/>
        </a:prstGeom>
      </xdr:spPr>
    </xdr:pic>
    <xdr:clientData/>
  </xdr:twoCellAnchor>
  <xdr:twoCellAnchor>
    <xdr:from>
      <xdr:col>28</xdr:col>
      <xdr:colOff>450723</xdr:colOff>
      <xdr:row>7</xdr:row>
      <xdr:rowOff>72787</xdr:rowOff>
    </xdr:from>
    <xdr:to>
      <xdr:col>29</xdr:col>
      <xdr:colOff>176244</xdr:colOff>
      <xdr:row>9</xdr:row>
      <xdr:rowOff>151178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0F6B29C-54BA-4E23-9C25-6A167C365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8748" y="1415812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209249</xdr:colOff>
      <xdr:row>7</xdr:row>
      <xdr:rowOff>81549</xdr:rowOff>
    </xdr:from>
    <xdr:to>
      <xdr:col>29</xdr:col>
      <xdr:colOff>591480</xdr:colOff>
      <xdr:row>9</xdr:row>
      <xdr:rowOff>159940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B196A0E-E92A-4F35-B663-E516D318A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54499" y="1424574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632420</xdr:colOff>
      <xdr:row>7</xdr:row>
      <xdr:rowOff>75708</xdr:rowOff>
    </xdr:from>
    <xdr:to>
      <xdr:col>30</xdr:col>
      <xdr:colOff>369220</xdr:colOff>
      <xdr:row>9</xdr:row>
      <xdr:rowOff>154099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5C8B2B9-6F7F-4685-9835-FAB1FB0E8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7670" y="1418733"/>
          <a:ext cx="394025" cy="459391"/>
        </a:xfrm>
        <a:prstGeom prst="rect">
          <a:avLst/>
        </a:prstGeom>
      </xdr:spPr>
    </xdr:pic>
    <xdr:clientData/>
  </xdr:twoCellAnchor>
  <xdr:twoCellAnchor>
    <xdr:from>
      <xdr:col>28</xdr:col>
      <xdr:colOff>444373</xdr:colOff>
      <xdr:row>9</xdr:row>
      <xdr:rowOff>189731</xdr:rowOff>
    </xdr:from>
    <xdr:to>
      <xdr:col>29</xdr:col>
      <xdr:colOff>169894</xdr:colOff>
      <xdr:row>12</xdr:row>
      <xdr:rowOff>68097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2166647-5029-4EB8-B404-147D7B86D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2398" y="1913756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202899</xdr:colOff>
      <xdr:row>10</xdr:row>
      <xdr:rowOff>7992</xdr:rowOff>
    </xdr:from>
    <xdr:to>
      <xdr:col>29</xdr:col>
      <xdr:colOff>585130</xdr:colOff>
      <xdr:row>12</xdr:row>
      <xdr:rowOff>76858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194761E-2ADD-4740-B084-6C9DF62C0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48149" y="1922517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626070</xdr:colOff>
      <xdr:row>10</xdr:row>
      <xdr:rowOff>2152</xdr:rowOff>
    </xdr:from>
    <xdr:to>
      <xdr:col>30</xdr:col>
      <xdr:colOff>362870</xdr:colOff>
      <xdr:row>12</xdr:row>
      <xdr:rowOff>71018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931DF97-8AAB-4722-AF7C-1F29F4055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1320" y="1916677"/>
          <a:ext cx="394025" cy="459391"/>
        </a:xfrm>
        <a:prstGeom prst="rect">
          <a:avLst/>
        </a:prstGeom>
      </xdr:spPr>
    </xdr:pic>
    <xdr:clientData/>
  </xdr:twoCellAnchor>
  <xdr:twoCellAnchor>
    <xdr:from>
      <xdr:col>31</xdr:col>
      <xdr:colOff>80696</xdr:colOff>
      <xdr:row>7</xdr:row>
      <xdr:rowOff>69795</xdr:rowOff>
    </xdr:from>
    <xdr:to>
      <xdr:col>33</xdr:col>
      <xdr:colOff>122687</xdr:colOff>
      <xdr:row>8</xdr:row>
      <xdr:rowOff>79421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BFAC7FF7-CA14-44F0-AEFB-00C6DE9679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0396" y="1412820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74346</xdr:colOff>
      <xdr:row>8</xdr:row>
      <xdr:rowOff>107093</xdr:rowOff>
    </xdr:from>
    <xdr:to>
      <xdr:col>33</xdr:col>
      <xdr:colOff>116337</xdr:colOff>
      <xdr:row>9</xdr:row>
      <xdr:rowOff>116719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2C2AC2C-4799-4DA7-BF36-8B8C8F403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4046" y="1640618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83871</xdr:colOff>
      <xdr:row>9</xdr:row>
      <xdr:rowOff>137090</xdr:rowOff>
    </xdr:from>
    <xdr:to>
      <xdr:col>33</xdr:col>
      <xdr:colOff>125862</xdr:colOff>
      <xdr:row>10</xdr:row>
      <xdr:rowOff>146716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993FA24D-81AD-4532-A0BE-05B18B1C4F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3571" y="1861115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77521</xdr:colOff>
      <xdr:row>10</xdr:row>
      <xdr:rowOff>167088</xdr:rowOff>
    </xdr:from>
    <xdr:to>
      <xdr:col>33</xdr:col>
      <xdr:colOff>119512</xdr:colOff>
      <xdr:row>11</xdr:row>
      <xdr:rowOff>176714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048B8C2-4AAE-4204-8038-8182E461FD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7221" y="2081613"/>
          <a:ext cx="1356441" cy="200126"/>
        </a:xfrm>
        <a:prstGeom prst="rect">
          <a:avLst/>
        </a:prstGeom>
      </xdr:spPr>
    </xdr:pic>
    <xdr:clientData/>
  </xdr:twoCellAnchor>
  <xdr:twoCellAnchor>
    <xdr:from>
      <xdr:col>29</xdr:col>
      <xdr:colOff>136222</xdr:colOff>
      <xdr:row>13</xdr:row>
      <xdr:rowOff>181728</xdr:rowOff>
    </xdr:from>
    <xdr:to>
      <xdr:col>32</xdr:col>
      <xdr:colOff>514975</xdr:colOff>
      <xdr:row>21</xdr:row>
      <xdr:rowOff>95692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2463BFE9-DFD1-4971-A0D0-314B2A6D1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281472" y="2686803"/>
          <a:ext cx="2350428" cy="1476064"/>
        </a:xfrm>
        <a:prstGeom prst="rect">
          <a:avLst/>
        </a:prstGeom>
      </xdr:spPr>
    </xdr:pic>
    <xdr:clientData/>
  </xdr:twoCellAnchor>
  <xdr:twoCellAnchor>
    <xdr:from>
      <xdr:col>27</xdr:col>
      <xdr:colOff>7356</xdr:colOff>
      <xdr:row>13</xdr:row>
      <xdr:rowOff>7500</xdr:rowOff>
    </xdr:from>
    <xdr:to>
      <xdr:col>29</xdr:col>
      <xdr:colOff>154391</xdr:colOff>
      <xdr:row>28</xdr:row>
      <xdr:rowOff>23540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1EAFD75-79F2-4CB7-942F-263E53A50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838156" y="2512575"/>
          <a:ext cx="1461485" cy="2940215"/>
        </a:xfrm>
        <a:prstGeom prst="rect">
          <a:avLst/>
        </a:prstGeom>
      </xdr:spPr>
    </xdr:pic>
    <xdr:clientData/>
  </xdr:twoCellAnchor>
  <xdr:twoCellAnchor>
    <xdr:from>
      <xdr:col>23</xdr:col>
      <xdr:colOff>121606</xdr:colOff>
      <xdr:row>13</xdr:row>
      <xdr:rowOff>47154</xdr:rowOff>
    </xdr:from>
    <xdr:to>
      <xdr:col>27</xdr:col>
      <xdr:colOff>37960</xdr:colOff>
      <xdr:row>28</xdr:row>
      <xdr:rowOff>16188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F407402A-FCBF-481D-A520-F5F31EAF6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256831" y="2552229"/>
          <a:ext cx="2611929" cy="2893209"/>
        </a:xfrm>
        <a:prstGeom prst="rect">
          <a:avLst/>
        </a:prstGeom>
      </xdr:spPr>
    </xdr:pic>
    <xdr:clientData/>
  </xdr:twoCellAnchor>
  <xdr:twoCellAnchor>
    <xdr:from>
      <xdr:col>23</xdr:col>
      <xdr:colOff>177171</xdr:colOff>
      <xdr:row>32</xdr:row>
      <xdr:rowOff>84602</xdr:rowOff>
    </xdr:from>
    <xdr:to>
      <xdr:col>25</xdr:col>
      <xdr:colOff>474283</xdr:colOff>
      <xdr:row>36</xdr:row>
      <xdr:rowOff>134498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8F50514E-8CEC-4D2A-9614-8BB9BC56C6EF}"/>
            </a:ext>
          </a:extLst>
        </xdr:cNvPr>
        <xdr:cNvSpPr/>
      </xdr:nvSpPr>
      <xdr:spPr>
        <a:xfrm>
          <a:off x="15312396" y="6275852"/>
          <a:ext cx="1611562" cy="811896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Note Box</a:t>
          </a:r>
        </a:p>
      </xdr:txBody>
    </xdr:sp>
    <xdr:clientData/>
  </xdr:twoCellAnchor>
  <xdr:twoCellAnchor>
    <xdr:from>
      <xdr:col>25</xdr:col>
      <xdr:colOff>590358</xdr:colOff>
      <xdr:row>34</xdr:row>
      <xdr:rowOff>46761</xdr:rowOff>
    </xdr:from>
    <xdr:to>
      <xdr:col>26</xdr:col>
      <xdr:colOff>319175</xdr:colOff>
      <xdr:row>36</xdr:row>
      <xdr:rowOff>97993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7C3A4E4D-CBB5-41DF-BDE9-13D33EB16041}"/>
            </a:ext>
          </a:extLst>
        </xdr:cNvPr>
        <xdr:cNvSpPr/>
      </xdr:nvSpPr>
      <xdr:spPr>
        <a:xfrm>
          <a:off x="17040033" y="6619011"/>
          <a:ext cx="452717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416016</xdr:colOff>
      <xdr:row>34</xdr:row>
      <xdr:rowOff>62820</xdr:rowOff>
    </xdr:from>
    <xdr:to>
      <xdr:col>27</xdr:col>
      <xdr:colOff>216454</xdr:colOff>
      <xdr:row>36</xdr:row>
      <xdr:rowOff>114052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AAAA7ADE-2FCC-4706-B12F-E364F312E58B}"/>
            </a:ext>
          </a:extLst>
        </xdr:cNvPr>
        <xdr:cNvSpPr/>
      </xdr:nvSpPr>
      <xdr:spPr>
        <a:xfrm>
          <a:off x="17589591" y="6635070"/>
          <a:ext cx="457663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584009</xdr:colOff>
      <xdr:row>31</xdr:row>
      <xdr:rowOff>101335</xdr:rowOff>
    </xdr:from>
    <xdr:to>
      <xdr:col>26</xdr:col>
      <xdr:colOff>312826</xdr:colOff>
      <xdr:row>33</xdr:row>
      <xdr:rowOff>143806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D9FAC355-155F-4802-92F8-E4231F715AB5}"/>
            </a:ext>
          </a:extLst>
        </xdr:cNvPr>
        <xdr:cNvSpPr/>
      </xdr:nvSpPr>
      <xdr:spPr>
        <a:xfrm>
          <a:off x="17033684" y="6102085"/>
          <a:ext cx="452717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409665</xdr:colOff>
      <xdr:row>31</xdr:row>
      <xdr:rowOff>95495</xdr:rowOff>
    </xdr:from>
    <xdr:to>
      <xdr:col>27</xdr:col>
      <xdr:colOff>210103</xdr:colOff>
      <xdr:row>33</xdr:row>
      <xdr:rowOff>137966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4857EC23-F8D1-4576-8BD2-BC47F8B3EA1A}"/>
            </a:ext>
          </a:extLst>
        </xdr:cNvPr>
        <xdr:cNvSpPr/>
      </xdr:nvSpPr>
      <xdr:spPr>
        <a:xfrm>
          <a:off x="17583240" y="6096245"/>
          <a:ext cx="457663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577658</xdr:colOff>
      <xdr:row>28</xdr:row>
      <xdr:rowOff>163209</xdr:rowOff>
    </xdr:from>
    <xdr:to>
      <xdr:col>26</xdr:col>
      <xdr:colOff>306475</xdr:colOff>
      <xdr:row>31</xdr:row>
      <xdr:rowOff>15180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6CD0E653-ACA8-4989-961D-938ED8ADBC87}"/>
            </a:ext>
          </a:extLst>
        </xdr:cNvPr>
        <xdr:cNvSpPr/>
      </xdr:nvSpPr>
      <xdr:spPr>
        <a:xfrm>
          <a:off x="17027333" y="5592459"/>
          <a:ext cx="452717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395377</xdr:colOff>
      <xdr:row>28</xdr:row>
      <xdr:rowOff>150064</xdr:rowOff>
    </xdr:from>
    <xdr:to>
      <xdr:col>27</xdr:col>
      <xdr:colOff>195815</xdr:colOff>
      <xdr:row>31</xdr:row>
      <xdr:rowOff>2035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91CE7166-61AA-4003-96BA-17503A531314}"/>
            </a:ext>
          </a:extLst>
        </xdr:cNvPr>
        <xdr:cNvSpPr/>
      </xdr:nvSpPr>
      <xdr:spPr>
        <a:xfrm>
          <a:off x="17568952" y="5579314"/>
          <a:ext cx="457663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382867</xdr:colOff>
      <xdr:row>31</xdr:row>
      <xdr:rowOff>123237</xdr:rowOff>
    </xdr:from>
    <xdr:to>
      <xdr:col>25</xdr:col>
      <xdr:colOff>245676</xdr:colOff>
      <xdr:row>31</xdr:row>
      <xdr:rowOff>123238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CF816927-A8A4-41F7-8EF7-E939305B67E6}"/>
            </a:ext>
          </a:extLst>
        </xdr:cNvPr>
        <xdr:cNvCxnSpPr/>
      </xdr:nvCxnSpPr>
      <xdr:spPr>
        <a:xfrm flipV="1">
          <a:off x="16175317" y="6123987"/>
          <a:ext cx="520034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507193</xdr:colOff>
      <xdr:row>30</xdr:row>
      <xdr:rowOff>80094</xdr:rowOff>
    </xdr:from>
    <xdr:to>
      <xdr:col>24</xdr:col>
      <xdr:colOff>343177</xdr:colOff>
      <xdr:row>30</xdr:row>
      <xdr:rowOff>80095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9CF45143-5582-48F6-AA19-60C2627924E7}"/>
            </a:ext>
          </a:extLst>
        </xdr:cNvPr>
        <xdr:cNvCxnSpPr/>
      </xdr:nvCxnSpPr>
      <xdr:spPr>
        <a:xfrm flipV="1">
          <a:off x="15642418" y="5890344"/>
          <a:ext cx="493209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384454</xdr:colOff>
      <xdr:row>30</xdr:row>
      <xdr:rowOff>81556</xdr:rowOff>
    </xdr:from>
    <xdr:to>
      <xdr:col>25</xdr:col>
      <xdr:colOff>247263</xdr:colOff>
      <xdr:row>30</xdr:row>
      <xdr:rowOff>81557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C9432DA-76FE-48DC-ADA2-96EAB37AEE25}"/>
            </a:ext>
          </a:extLst>
        </xdr:cNvPr>
        <xdr:cNvCxnSpPr/>
      </xdr:nvCxnSpPr>
      <xdr:spPr>
        <a:xfrm flipV="1">
          <a:off x="16176904" y="5891806"/>
          <a:ext cx="520034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495173</xdr:colOff>
      <xdr:row>29</xdr:row>
      <xdr:rowOff>31114</xdr:rowOff>
    </xdr:from>
    <xdr:to>
      <xdr:col>24</xdr:col>
      <xdr:colOff>344764</xdr:colOff>
      <xdr:row>29</xdr:row>
      <xdr:rowOff>31115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48A07D2A-7387-456E-9EBB-08BB97D40BAD}"/>
            </a:ext>
          </a:extLst>
        </xdr:cNvPr>
        <xdr:cNvCxnSpPr/>
      </xdr:nvCxnSpPr>
      <xdr:spPr>
        <a:xfrm flipV="1">
          <a:off x="15630398" y="5650864"/>
          <a:ext cx="506816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386042</xdr:colOff>
      <xdr:row>29</xdr:row>
      <xdr:rowOff>32576</xdr:rowOff>
    </xdr:from>
    <xdr:to>
      <xdr:col>25</xdr:col>
      <xdr:colOff>248851</xdr:colOff>
      <xdr:row>29</xdr:row>
      <xdr:rowOff>32577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1C3E0792-7C49-41EC-B770-BB6F681EE159}"/>
            </a:ext>
          </a:extLst>
        </xdr:cNvPr>
        <xdr:cNvCxnSpPr/>
      </xdr:nvCxnSpPr>
      <xdr:spPr>
        <a:xfrm flipV="1">
          <a:off x="16178492" y="5652326"/>
          <a:ext cx="520034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88679</xdr:colOff>
      <xdr:row>45</xdr:row>
      <xdr:rowOff>9525</xdr:rowOff>
    </xdr:from>
    <xdr:to>
      <xdr:col>22</xdr:col>
      <xdr:colOff>558165</xdr:colOff>
      <xdr:row>50</xdr:row>
      <xdr:rowOff>166275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C9D907A-57B1-4CF4-BDE3-99A8A44F9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909454" y="8696325"/>
          <a:ext cx="1126711" cy="1128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98533</xdr:colOff>
      <xdr:row>45</xdr:row>
      <xdr:rowOff>14968</xdr:rowOff>
    </xdr:from>
    <xdr:to>
      <xdr:col>20</xdr:col>
      <xdr:colOff>566348</xdr:colOff>
      <xdr:row>50</xdr:row>
      <xdr:rowOff>174042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1D1ACFC6-E358-4BEC-B82B-CB21B1877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604858" y="8701768"/>
          <a:ext cx="1125040" cy="1130624"/>
        </a:xfrm>
        <a:prstGeom prst="rect">
          <a:avLst/>
        </a:prstGeom>
      </xdr:spPr>
    </xdr:pic>
    <xdr:clientData/>
  </xdr:twoCellAnchor>
  <xdr:twoCellAnchor editAs="oneCell">
    <xdr:from>
      <xdr:col>13</xdr:col>
      <xdr:colOff>619125</xdr:colOff>
      <xdr:row>3</xdr:row>
      <xdr:rowOff>186789</xdr:rowOff>
    </xdr:from>
    <xdr:to>
      <xdr:col>21</xdr:col>
      <xdr:colOff>371475</xdr:colOff>
      <xdr:row>19</xdr:row>
      <xdr:rowOff>152937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F5D89EF-3A75-EF62-8D15-9B9E93FC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82100" y="739239"/>
          <a:ext cx="5010150" cy="3080823"/>
        </a:xfrm>
        <a:prstGeom prst="rect">
          <a:avLst/>
        </a:prstGeom>
      </xdr:spPr>
    </xdr:pic>
    <xdr:clientData/>
  </xdr:twoCellAnchor>
  <xdr:twoCellAnchor>
    <xdr:from>
      <xdr:col>19</xdr:col>
      <xdr:colOff>171450</xdr:colOff>
      <xdr:row>16</xdr:row>
      <xdr:rowOff>142875</xdr:rowOff>
    </xdr:from>
    <xdr:to>
      <xdr:col>22</xdr:col>
      <xdr:colOff>394329</xdr:colOff>
      <xdr:row>23</xdr:row>
      <xdr:rowOff>153548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A3E79DE-8AD2-4CF0-A880-BCBF5DAFF599}"/>
            </a:ext>
          </a:extLst>
        </xdr:cNvPr>
        <xdr:cNvSpPr/>
      </xdr:nvSpPr>
      <xdr:spPr>
        <a:xfrm>
          <a:off x="12677775" y="3238500"/>
          <a:ext cx="2194554" cy="1372748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Swing to</a:t>
          </a:r>
          <a:r>
            <a:rPr lang="en-US" sz="1200" b="1" baseline="0"/>
            <a:t> find center of thru hole and then move the distances provided to set your X and Y. Double check locations to the print</a:t>
          </a:r>
          <a:endParaRPr lang="en-US" sz="1200" b="1"/>
        </a:p>
      </xdr:txBody>
    </xdr:sp>
    <xdr:clientData/>
  </xdr:twoCellAnchor>
  <xdr:twoCellAnchor>
    <xdr:from>
      <xdr:col>18</xdr:col>
      <xdr:colOff>123825</xdr:colOff>
      <xdr:row>14</xdr:row>
      <xdr:rowOff>104775</xdr:rowOff>
    </xdr:from>
    <xdr:to>
      <xdr:col>19</xdr:col>
      <xdr:colOff>248431</xdr:colOff>
      <xdr:row>19</xdr:row>
      <xdr:rowOff>93203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B232DF45-8293-4888-899F-97A530A6802A}"/>
            </a:ext>
          </a:extLst>
        </xdr:cNvPr>
        <xdr:cNvCxnSpPr/>
      </xdr:nvCxnSpPr>
      <xdr:spPr>
        <a:xfrm flipH="1" flipV="1">
          <a:off x="11972925" y="2809875"/>
          <a:ext cx="781831" cy="950453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111377</xdr:colOff>
      <xdr:row>0</xdr:row>
      <xdr:rowOff>13145</xdr:rowOff>
    </xdr:from>
    <xdr:to>
      <xdr:col>24</xdr:col>
      <xdr:colOff>566655</xdr:colOff>
      <xdr:row>12</xdr:row>
      <xdr:rowOff>167049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EA5E58-55B6-447E-B430-F5A07977A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6602" y="13145"/>
          <a:ext cx="1112503" cy="2458954"/>
        </a:xfrm>
        <a:prstGeom prst="rect">
          <a:avLst/>
        </a:prstGeom>
      </xdr:spPr>
    </xdr:pic>
    <xdr:clientData/>
  </xdr:twoCellAnchor>
  <xdr:twoCellAnchor>
    <xdr:from>
      <xdr:col>24</xdr:col>
      <xdr:colOff>638665</xdr:colOff>
      <xdr:row>0</xdr:row>
      <xdr:rowOff>2</xdr:rowOff>
    </xdr:from>
    <xdr:to>
      <xdr:col>26</xdr:col>
      <xdr:colOff>395011</xdr:colOff>
      <xdr:row>12</xdr:row>
      <xdr:rowOff>148691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D564EEB-65AD-43B0-917D-1F8CC7CD5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31115" y="2"/>
          <a:ext cx="1137471" cy="2453739"/>
        </a:xfrm>
        <a:prstGeom prst="rect">
          <a:avLst/>
        </a:prstGeom>
      </xdr:spPr>
    </xdr:pic>
    <xdr:clientData/>
  </xdr:twoCellAnchor>
  <xdr:twoCellAnchor>
    <xdr:from>
      <xdr:col>26</xdr:col>
      <xdr:colOff>456773</xdr:colOff>
      <xdr:row>9</xdr:row>
      <xdr:rowOff>49548</xdr:rowOff>
    </xdr:from>
    <xdr:to>
      <xdr:col>27</xdr:col>
      <xdr:colOff>97558</xdr:colOff>
      <xdr:row>12</xdr:row>
      <xdr:rowOff>47746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5D028F4-9F11-4122-B208-2B8C0E509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0348" y="1773573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174476</xdr:colOff>
      <xdr:row>9</xdr:row>
      <xdr:rowOff>43706</xdr:rowOff>
    </xdr:from>
    <xdr:to>
      <xdr:col>27</xdr:col>
      <xdr:colOff>477167</xdr:colOff>
      <xdr:row>12</xdr:row>
      <xdr:rowOff>41904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424EAB6-F3B1-4847-BB6B-73C377A25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5276" y="1767731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168125</xdr:colOff>
      <xdr:row>6</xdr:row>
      <xdr:rowOff>63998</xdr:rowOff>
    </xdr:from>
    <xdr:to>
      <xdr:col>27</xdr:col>
      <xdr:colOff>470816</xdr:colOff>
      <xdr:row>9</xdr:row>
      <xdr:rowOff>62196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423E3EE-0908-4C41-8895-0A0275DAC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8925" y="1206998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161775</xdr:colOff>
      <xdr:row>3</xdr:row>
      <xdr:rowOff>28104</xdr:rowOff>
    </xdr:from>
    <xdr:to>
      <xdr:col>27</xdr:col>
      <xdr:colOff>464466</xdr:colOff>
      <xdr:row>6</xdr:row>
      <xdr:rowOff>16777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0BB699F-FC65-41A3-9ADB-56D211B33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2575" y="580554"/>
          <a:ext cx="302691" cy="579223"/>
        </a:xfrm>
        <a:prstGeom prst="rect">
          <a:avLst/>
        </a:prstGeom>
      </xdr:spPr>
    </xdr:pic>
    <xdr:clientData/>
  </xdr:twoCellAnchor>
  <xdr:twoCellAnchor>
    <xdr:from>
      <xdr:col>26</xdr:col>
      <xdr:colOff>486935</xdr:colOff>
      <xdr:row>3</xdr:row>
      <xdr:rowOff>29563</xdr:rowOff>
    </xdr:from>
    <xdr:to>
      <xdr:col>27</xdr:col>
      <xdr:colOff>127720</xdr:colOff>
      <xdr:row>6</xdr:row>
      <xdr:rowOff>18236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FF2290E-E423-4FCE-B8A8-5A85BE9BD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510" y="582013"/>
          <a:ext cx="298010" cy="579223"/>
        </a:xfrm>
        <a:prstGeom prst="rect">
          <a:avLst/>
        </a:prstGeom>
      </xdr:spPr>
    </xdr:pic>
    <xdr:clientData/>
  </xdr:twoCellAnchor>
  <xdr:twoCellAnchor>
    <xdr:from>
      <xdr:col>26</xdr:col>
      <xdr:colOff>472648</xdr:colOff>
      <xdr:row>6</xdr:row>
      <xdr:rowOff>46475</xdr:rowOff>
    </xdr:from>
    <xdr:to>
      <xdr:col>27</xdr:col>
      <xdr:colOff>113433</xdr:colOff>
      <xdr:row>9</xdr:row>
      <xdr:rowOff>44673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984A8F5-B892-4FFC-851C-412BACE07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223" y="1189475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527198</xdr:colOff>
      <xdr:row>10</xdr:row>
      <xdr:rowOff>60581</xdr:rowOff>
    </xdr:from>
    <xdr:to>
      <xdr:col>28</xdr:col>
      <xdr:colOff>244344</xdr:colOff>
      <xdr:row>11</xdr:row>
      <xdr:rowOff>106620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3182F2D-0884-495C-807A-2092C61AD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8" y="1975106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528786</xdr:colOff>
      <xdr:row>3</xdr:row>
      <xdr:rowOff>175607</xdr:rowOff>
    </xdr:from>
    <xdr:to>
      <xdr:col>28</xdr:col>
      <xdr:colOff>245932</xdr:colOff>
      <xdr:row>5</xdr:row>
      <xdr:rowOff>21621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E05EEF2-D10C-455A-8A43-6ECE8F66E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9586" y="728057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530373</xdr:colOff>
      <xdr:row>5</xdr:row>
      <xdr:rowOff>34784</xdr:rowOff>
    </xdr:from>
    <xdr:to>
      <xdr:col>28</xdr:col>
      <xdr:colOff>247519</xdr:colOff>
      <xdr:row>6</xdr:row>
      <xdr:rowOff>71298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CD67CB1-9D74-4B43-AF46-24D9A54D2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61173" y="977759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524024</xdr:colOff>
      <xdr:row>7</xdr:row>
      <xdr:rowOff>132677</xdr:rowOff>
    </xdr:from>
    <xdr:to>
      <xdr:col>28</xdr:col>
      <xdr:colOff>241170</xdr:colOff>
      <xdr:row>8</xdr:row>
      <xdr:rowOff>178716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7AA63D2-58B5-498A-A019-374D5C378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4824" y="1475702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525612</xdr:colOff>
      <xdr:row>6</xdr:row>
      <xdr:rowOff>85920</xdr:rowOff>
    </xdr:from>
    <xdr:to>
      <xdr:col>28</xdr:col>
      <xdr:colOff>242758</xdr:colOff>
      <xdr:row>7</xdr:row>
      <xdr:rowOff>122434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54C26FA-F775-463C-8517-A778CCA69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6412" y="1228920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527199</xdr:colOff>
      <xdr:row>9</xdr:row>
      <xdr:rowOff>2839</xdr:rowOff>
    </xdr:from>
    <xdr:to>
      <xdr:col>28</xdr:col>
      <xdr:colOff>244345</xdr:colOff>
      <xdr:row>10</xdr:row>
      <xdr:rowOff>48878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F38BD1F-EA36-444C-9BC7-CF1F39D8A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9" y="1726864"/>
          <a:ext cx="374371" cy="236539"/>
        </a:xfrm>
        <a:prstGeom prst="rect">
          <a:avLst/>
        </a:prstGeom>
      </xdr:spPr>
    </xdr:pic>
    <xdr:clientData/>
  </xdr:twoCellAnchor>
  <xdr:twoCellAnchor>
    <xdr:from>
      <xdr:col>28</xdr:col>
      <xdr:colOff>474537</xdr:colOff>
      <xdr:row>0</xdr:row>
      <xdr:rowOff>27746</xdr:rowOff>
    </xdr:from>
    <xdr:to>
      <xdr:col>30</xdr:col>
      <xdr:colOff>413338</xdr:colOff>
      <xdr:row>5</xdr:row>
      <xdr:rowOff>108165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D474642-041E-4E76-BB19-9AEDB1E00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62562" y="27746"/>
          <a:ext cx="1253251" cy="1023394"/>
        </a:xfrm>
        <a:prstGeom prst="rect">
          <a:avLst/>
        </a:prstGeom>
      </xdr:spPr>
    </xdr:pic>
    <xdr:clientData/>
  </xdr:twoCellAnchor>
  <xdr:twoCellAnchor>
    <xdr:from>
      <xdr:col>30</xdr:col>
      <xdr:colOff>478427</xdr:colOff>
      <xdr:row>0</xdr:row>
      <xdr:rowOff>29207</xdr:rowOff>
    </xdr:from>
    <xdr:to>
      <xdr:col>32</xdr:col>
      <xdr:colOff>422896</xdr:colOff>
      <xdr:row>5</xdr:row>
      <xdr:rowOff>109626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3F7F196-10DD-4B4C-974B-CA88B3AF8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280902" y="29207"/>
          <a:ext cx="1258919" cy="1023394"/>
        </a:xfrm>
        <a:prstGeom prst="rect">
          <a:avLst/>
        </a:prstGeom>
      </xdr:spPr>
    </xdr:pic>
    <xdr:clientData/>
  </xdr:twoCellAnchor>
  <xdr:twoCellAnchor>
    <xdr:from>
      <xdr:col>28</xdr:col>
      <xdr:colOff>450723</xdr:colOff>
      <xdr:row>7</xdr:row>
      <xdr:rowOff>72787</xdr:rowOff>
    </xdr:from>
    <xdr:to>
      <xdr:col>29</xdr:col>
      <xdr:colOff>176244</xdr:colOff>
      <xdr:row>9</xdr:row>
      <xdr:rowOff>151178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31AD411-0920-4BFE-B9A3-0B4AA0F9F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8748" y="1415812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209249</xdr:colOff>
      <xdr:row>7</xdr:row>
      <xdr:rowOff>81549</xdr:rowOff>
    </xdr:from>
    <xdr:to>
      <xdr:col>29</xdr:col>
      <xdr:colOff>591480</xdr:colOff>
      <xdr:row>9</xdr:row>
      <xdr:rowOff>159940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43C6D90-963F-4AA8-8151-C9C6E28CF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54499" y="1424574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632420</xdr:colOff>
      <xdr:row>7</xdr:row>
      <xdr:rowOff>75708</xdr:rowOff>
    </xdr:from>
    <xdr:to>
      <xdr:col>30</xdr:col>
      <xdr:colOff>369220</xdr:colOff>
      <xdr:row>9</xdr:row>
      <xdr:rowOff>154099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E4E0972-74FD-412C-B013-527364C5E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7670" y="1418733"/>
          <a:ext cx="394025" cy="459391"/>
        </a:xfrm>
        <a:prstGeom prst="rect">
          <a:avLst/>
        </a:prstGeom>
      </xdr:spPr>
    </xdr:pic>
    <xdr:clientData/>
  </xdr:twoCellAnchor>
  <xdr:twoCellAnchor>
    <xdr:from>
      <xdr:col>28</xdr:col>
      <xdr:colOff>444373</xdr:colOff>
      <xdr:row>9</xdr:row>
      <xdr:rowOff>189731</xdr:rowOff>
    </xdr:from>
    <xdr:to>
      <xdr:col>29</xdr:col>
      <xdr:colOff>169894</xdr:colOff>
      <xdr:row>12</xdr:row>
      <xdr:rowOff>68097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4294753-63EA-48EC-BA4F-812DEF375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2398" y="1913756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202899</xdr:colOff>
      <xdr:row>10</xdr:row>
      <xdr:rowOff>7992</xdr:rowOff>
    </xdr:from>
    <xdr:to>
      <xdr:col>29</xdr:col>
      <xdr:colOff>585130</xdr:colOff>
      <xdr:row>12</xdr:row>
      <xdr:rowOff>76858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8B38BF2-413B-4C6A-9E40-A58E106BC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48149" y="1922517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626070</xdr:colOff>
      <xdr:row>10</xdr:row>
      <xdr:rowOff>2152</xdr:rowOff>
    </xdr:from>
    <xdr:to>
      <xdr:col>30</xdr:col>
      <xdr:colOff>362870</xdr:colOff>
      <xdr:row>12</xdr:row>
      <xdr:rowOff>71018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FD424E9-CA95-4A95-81EF-A3710713A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1320" y="1916677"/>
          <a:ext cx="394025" cy="459391"/>
        </a:xfrm>
        <a:prstGeom prst="rect">
          <a:avLst/>
        </a:prstGeom>
      </xdr:spPr>
    </xdr:pic>
    <xdr:clientData/>
  </xdr:twoCellAnchor>
  <xdr:twoCellAnchor>
    <xdr:from>
      <xdr:col>31</xdr:col>
      <xdr:colOff>80696</xdr:colOff>
      <xdr:row>7</xdr:row>
      <xdr:rowOff>69795</xdr:rowOff>
    </xdr:from>
    <xdr:to>
      <xdr:col>33</xdr:col>
      <xdr:colOff>122687</xdr:colOff>
      <xdr:row>8</xdr:row>
      <xdr:rowOff>79421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0A7DED4-2376-42FC-B564-EF68225B8A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0396" y="1412820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74346</xdr:colOff>
      <xdr:row>8</xdr:row>
      <xdr:rowOff>107093</xdr:rowOff>
    </xdr:from>
    <xdr:to>
      <xdr:col>33</xdr:col>
      <xdr:colOff>116337</xdr:colOff>
      <xdr:row>9</xdr:row>
      <xdr:rowOff>116719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D813883-5CF3-42F8-9F37-7ADFC790DA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4046" y="1640618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83871</xdr:colOff>
      <xdr:row>9</xdr:row>
      <xdr:rowOff>137090</xdr:rowOff>
    </xdr:from>
    <xdr:to>
      <xdr:col>33</xdr:col>
      <xdr:colOff>125862</xdr:colOff>
      <xdr:row>10</xdr:row>
      <xdr:rowOff>146716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218DA71-28F3-46E5-9D27-625DB09AD7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3571" y="1861115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77521</xdr:colOff>
      <xdr:row>10</xdr:row>
      <xdr:rowOff>167088</xdr:rowOff>
    </xdr:from>
    <xdr:to>
      <xdr:col>33</xdr:col>
      <xdr:colOff>119512</xdr:colOff>
      <xdr:row>11</xdr:row>
      <xdr:rowOff>176714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4CE1B8B7-86B8-4166-9559-16626CBE79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7221" y="2081613"/>
          <a:ext cx="1356441" cy="200126"/>
        </a:xfrm>
        <a:prstGeom prst="rect">
          <a:avLst/>
        </a:prstGeom>
      </xdr:spPr>
    </xdr:pic>
    <xdr:clientData/>
  </xdr:twoCellAnchor>
  <xdr:twoCellAnchor>
    <xdr:from>
      <xdr:col>29</xdr:col>
      <xdr:colOff>136222</xdr:colOff>
      <xdr:row>13</xdr:row>
      <xdr:rowOff>181728</xdr:rowOff>
    </xdr:from>
    <xdr:to>
      <xdr:col>32</xdr:col>
      <xdr:colOff>514975</xdr:colOff>
      <xdr:row>21</xdr:row>
      <xdr:rowOff>95692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35ACADC-4DDE-42AD-AF9F-E8200D3D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281472" y="2686803"/>
          <a:ext cx="2350428" cy="1476064"/>
        </a:xfrm>
        <a:prstGeom prst="rect">
          <a:avLst/>
        </a:prstGeom>
      </xdr:spPr>
    </xdr:pic>
    <xdr:clientData/>
  </xdr:twoCellAnchor>
  <xdr:twoCellAnchor>
    <xdr:from>
      <xdr:col>27</xdr:col>
      <xdr:colOff>7356</xdr:colOff>
      <xdr:row>13</xdr:row>
      <xdr:rowOff>7500</xdr:rowOff>
    </xdr:from>
    <xdr:to>
      <xdr:col>29</xdr:col>
      <xdr:colOff>154391</xdr:colOff>
      <xdr:row>28</xdr:row>
      <xdr:rowOff>23540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7865ED72-96B5-47BA-94B0-57EB4AB0D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838156" y="2512575"/>
          <a:ext cx="1461485" cy="2940215"/>
        </a:xfrm>
        <a:prstGeom prst="rect">
          <a:avLst/>
        </a:prstGeom>
      </xdr:spPr>
    </xdr:pic>
    <xdr:clientData/>
  </xdr:twoCellAnchor>
  <xdr:twoCellAnchor>
    <xdr:from>
      <xdr:col>23</xdr:col>
      <xdr:colOff>121606</xdr:colOff>
      <xdr:row>13</xdr:row>
      <xdr:rowOff>47154</xdr:rowOff>
    </xdr:from>
    <xdr:to>
      <xdr:col>27</xdr:col>
      <xdr:colOff>37960</xdr:colOff>
      <xdr:row>28</xdr:row>
      <xdr:rowOff>16188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F06945E-C8C4-482F-AC9D-9A69E756A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256831" y="2552229"/>
          <a:ext cx="2611929" cy="2893209"/>
        </a:xfrm>
        <a:prstGeom prst="rect">
          <a:avLst/>
        </a:prstGeom>
      </xdr:spPr>
    </xdr:pic>
    <xdr:clientData/>
  </xdr:twoCellAnchor>
  <xdr:twoCellAnchor>
    <xdr:from>
      <xdr:col>23</xdr:col>
      <xdr:colOff>177171</xdr:colOff>
      <xdr:row>32</xdr:row>
      <xdr:rowOff>84602</xdr:rowOff>
    </xdr:from>
    <xdr:to>
      <xdr:col>25</xdr:col>
      <xdr:colOff>474283</xdr:colOff>
      <xdr:row>36</xdr:row>
      <xdr:rowOff>134498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B69B164-353E-42D9-B4B2-649C55A2F7CB}"/>
            </a:ext>
          </a:extLst>
        </xdr:cNvPr>
        <xdr:cNvSpPr/>
      </xdr:nvSpPr>
      <xdr:spPr>
        <a:xfrm>
          <a:off x="15312396" y="6275852"/>
          <a:ext cx="1611562" cy="811896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Note Box</a:t>
          </a:r>
        </a:p>
      </xdr:txBody>
    </xdr:sp>
    <xdr:clientData/>
  </xdr:twoCellAnchor>
  <xdr:twoCellAnchor>
    <xdr:from>
      <xdr:col>23</xdr:col>
      <xdr:colOff>505606</xdr:colOff>
      <xdr:row>31</xdr:row>
      <xdr:rowOff>121777</xdr:rowOff>
    </xdr:from>
    <xdr:to>
      <xdr:col>24</xdr:col>
      <xdr:colOff>341590</xdr:colOff>
      <xdr:row>31</xdr:row>
      <xdr:rowOff>121778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8836520C-03D8-4D05-BE55-27388CAB6236}"/>
            </a:ext>
          </a:extLst>
        </xdr:cNvPr>
        <xdr:cNvCxnSpPr/>
      </xdr:nvCxnSpPr>
      <xdr:spPr>
        <a:xfrm flipV="1">
          <a:off x="15640831" y="6122527"/>
          <a:ext cx="493209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590358</xdr:colOff>
      <xdr:row>34</xdr:row>
      <xdr:rowOff>46761</xdr:rowOff>
    </xdr:from>
    <xdr:to>
      <xdr:col>26</xdr:col>
      <xdr:colOff>319175</xdr:colOff>
      <xdr:row>36</xdr:row>
      <xdr:rowOff>97993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984CCAE3-7E83-44EF-A7AD-1AA205472CAF}"/>
            </a:ext>
          </a:extLst>
        </xdr:cNvPr>
        <xdr:cNvSpPr/>
      </xdr:nvSpPr>
      <xdr:spPr>
        <a:xfrm>
          <a:off x="17040033" y="6619011"/>
          <a:ext cx="452717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416016</xdr:colOff>
      <xdr:row>34</xdr:row>
      <xdr:rowOff>62820</xdr:rowOff>
    </xdr:from>
    <xdr:to>
      <xdr:col>27</xdr:col>
      <xdr:colOff>216454</xdr:colOff>
      <xdr:row>36</xdr:row>
      <xdr:rowOff>114052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74EE007D-0289-42D4-ADB5-BA12EDD34C55}"/>
            </a:ext>
          </a:extLst>
        </xdr:cNvPr>
        <xdr:cNvSpPr/>
      </xdr:nvSpPr>
      <xdr:spPr>
        <a:xfrm>
          <a:off x="17589591" y="6635070"/>
          <a:ext cx="457663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584009</xdr:colOff>
      <xdr:row>31</xdr:row>
      <xdr:rowOff>101335</xdr:rowOff>
    </xdr:from>
    <xdr:to>
      <xdr:col>26</xdr:col>
      <xdr:colOff>312826</xdr:colOff>
      <xdr:row>33</xdr:row>
      <xdr:rowOff>143806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11D3B74D-6D6A-4DAD-86F4-9A4FCE3B9A17}"/>
            </a:ext>
          </a:extLst>
        </xdr:cNvPr>
        <xdr:cNvSpPr/>
      </xdr:nvSpPr>
      <xdr:spPr>
        <a:xfrm>
          <a:off x="17033684" y="6102085"/>
          <a:ext cx="452717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409665</xdr:colOff>
      <xdr:row>31</xdr:row>
      <xdr:rowOff>95495</xdr:rowOff>
    </xdr:from>
    <xdr:to>
      <xdr:col>27</xdr:col>
      <xdr:colOff>210103</xdr:colOff>
      <xdr:row>33</xdr:row>
      <xdr:rowOff>137966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56C2E2B0-DC31-43D7-B1FA-5899E5191897}"/>
            </a:ext>
          </a:extLst>
        </xdr:cNvPr>
        <xdr:cNvSpPr/>
      </xdr:nvSpPr>
      <xdr:spPr>
        <a:xfrm>
          <a:off x="17583240" y="6096245"/>
          <a:ext cx="457663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577658</xdr:colOff>
      <xdr:row>28</xdr:row>
      <xdr:rowOff>163209</xdr:rowOff>
    </xdr:from>
    <xdr:to>
      <xdr:col>26</xdr:col>
      <xdr:colOff>306475</xdr:colOff>
      <xdr:row>31</xdr:row>
      <xdr:rowOff>15180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8C785E75-864E-4239-8331-7E90478FC27D}"/>
            </a:ext>
          </a:extLst>
        </xdr:cNvPr>
        <xdr:cNvSpPr/>
      </xdr:nvSpPr>
      <xdr:spPr>
        <a:xfrm>
          <a:off x="17027333" y="5592459"/>
          <a:ext cx="452717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395377</xdr:colOff>
      <xdr:row>28</xdr:row>
      <xdr:rowOff>150064</xdr:rowOff>
    </xdr:from>
    <xdr:to>
      <xdr:col>27</xdr:col>
      <xdr:colOff>195815</xdr:colOff>
      <xdr:row>31</xdr:row>
      <xdr:rowOff>2035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91617543-7628-4348-BB62-C1F1E30B9690}"/>
            </a:ext>
          </a:extLst>
        </xdr:cNvPr>
        <xdr:cNvSpPr/>
      </xdr:nvSpPr>
      <xdr:spPr>
        <a:xfrm>
          <a:off x="17568952" y="5579314"/>
          <a:ext cx="457663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382867</xdr:colOff>
      <xdr:row>31</xdr:row>
      <xdr:rowOff>123237</xdr:rowOff>
    </xdr:from>
    <xdr:to>
      <xdr:col>25</xdr:col>
      <xdr:colOff>245676</xdr:colOff>
      <xdr:row>31</xdr:row>
      <xdr:rowOff>123238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983EAE8E-90CD-4C04-879E-04DF36CB45FE}"/>
            </a:ext>
          </a:extLst>
        </xdr:cNvPr>
        <xdr:cNvCxnSpPr/>
      </xdr:nvCxnSpPr>
      <xdr:spPr>
        <a:xfrm flipV="1">
          <a:off x="16175317" y="6123987"/>
          <a:ext cx="520034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507193</xdr:colOff>
      <xdr:row>30</xdr:row>
      <xdr:rowOff>80094</xdr:rowOff>
    </xdr:from>
    <xdr:to>
      <xdr:col>24</xdr:col>
      <xdr:colOff>343177</xdr:colOff>
      <xdr:row>30</xdr:row>
      <xdr:rowOff>80095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A8C92AFE-4383-41B4-8F57-10B4BBA1B949}"/>
            </a:ext>
          </a:extLst>
        </xdr:cNvPr>
        <xdr:cNvCxnSpPr/>
      </xdr:nvCxnSpPr>
      <xdr:spPr>
        <a:xfrm flipV="1">
          <a:off x="15642418" y="5890344"/>
          <a:ext cx="493209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384454</xdr:colOff>
      <xdr:row>30</xdr:row>
      <xdr:rowOff>81556</xdr:rowOff>
    </xdr:from>
    <xdr:to>
      <xdr:col>25</xdr:col>
      <xdr:colOff>247263</xdr:colOff>
      <xdr:row>30</xdr:row>
      <xdr:rowOff>81557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A9F0F922-98B2-4E04-96D3-34905ABAE5F0}"/>
            </a:ext>
          </a:extLst>
        </xdr:cNvPr>
        <xdr:cNvCxnSpPr/>
      </xdr:nvCxnSpPr>
      <xdr:spPr>
        <a:xfrm flipV="1">
          <a:off x="16176904" y="5891806"/>
          <a:ext cx="520034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495173</xdr:colOff>
      <xdr:row>29</xdr:row>
      <xdr:rowOff>31114</xdr:rowOff>
    </xdr:from>
    <xdr:to>
      <xdr:col>24</xdr:col>
      <xdr:colOff>344764</xdr:colOff>
      <xdr:row>29</xdr:row>
      <xdr:rowOff>31115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C029EFBA-75D9-4983-AFE2-B626143F5122}"/>
            </a:ext>
          </a:extLst>
        </xdr:cNvPr>
        <xdr:cNvCxnSpPr/>
      </xdr:nvCxnSpPr>
      <xdr:spPr>
        <a:xfrm flipV="1">
          <a:off x="15630398" y="5650864"/>
          <a:ext cx="506816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386042</xdr:colOff>
      <xdr:row>29</xdr:row>
      <xdr:rowOff>32576</xdr:rowOff>
    </xdr:from>
    <xdr:to>
      <xdr:col>25</xdr:col>
      <xdr:colOff>248851</xdr:colOff>
      <xdr:row>29</xdr:row>
      <xdr:rowOff>32577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A1AE7059-37B7-44B7-AE75-BC41013A1AC4}"/>
            </a:ext>
          </a:extLst>
        </xdr:cNvPr>
        <xdr:cNvCxnSpPr/>
      </xdr:nvCxnSpPr>
      <xdr:spPr>
        <a:xfrm flipV="1">
          <a:off x="16178492" y="5652326"/>
          <a:ext cx="520034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88679</xdr:colOff>
      <xdr:row>45</xdr:row>
      <xdr:rowOff>9525</xdr:rowOff>
    </xdr:from>
    <xdr:to>
      <xdr:col>22</xdr:col>
      <xdr:colOff>558165</xdr:colOff>
      <xdr:row>50</xdr:row>
      <xdr:rowOff>166275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2460346E-144C-439E-A469-995956136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909454" y="8696325"/>
          <a:ext cx="1126711" cy="1128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98533</xdr:colOff>
      <xdr:row>45</xdr:row>
      <xdr:rowOff>14968</xdr:rowOff>
    </xdr:from>
    <xdr:to>
      <xdr:col>20</xdr:col>
      <xdr:colOff>566348</xdr:colOff>
      <xdr:row>50</xdr:row>
      <xdr:rowOff>174042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7DE74346-BB16-4052-ADE0-2A693A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604858" y="8701768"/>
          <a:ext cx="1125040" cy="1130624"/>
        </a:xfrm>
        <a:prstGeom prst="rect">
          <a:avLst/>
        </a:prstGeom>
      </xdr:spPr>
    </xdr:pic>
    <xdr:clientData/>
  </xdr:twoCellAnchor>
  <xdr:twoCellAnchor editAs="oneCell">
    <xdr:from>
      <xdr:col>14</xdr:col>
      <xdr:colOff>209550</xdr:colOff>
      <xdr:row>4</xdr:row>
      <xdr:rowOff>20923</xdr:rowOff>
    </xdr:from>
    <xdr:to>
      <xdr:col>21</xdr:col>
      <xdr:colOff>133350</xdr:colOff>
      <xdr:row>23</xdr:row>
      <xdr:rowOff>181522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F9BEC6E-A56D-2736-72FC-43297B317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429750" y="763873"/>
          <a:ext cx="4524375" cy="387534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111377</xdr:colOff>
      <xdr:row>0</xdr:row>
      <xdr:rowOff>13145</xdr:rowOff>
    </xdr:from>
    <xdr:to>
      <xdr:col>24</xdr:col>
      <xdr:colOff>566655</xdr:colOff>
      <xdr:row>12</xdr:row>
      <xdr:rowOff>167049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C4E68BC-59AF-4232-A750-5E98334E8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6602" y="13145"/>
          <a:ext cx="1112503" cy="2458954"/>
        </a:xfrm>
        <a:prstGeom prst="rect">
          <a:avLst/>
        </a:prstGeom>
      </xdr:spPr>
    </xdr:pic>
    <xdr:clientData/>
  </xdr:twoCellAnchor>
  <xdr:twoCellAnchor>
    <xdr:from>
      <xdr:col>24</xdr:col>
      <xdr:colOff>638665</xdr:colOff>
      <xdr:row>0</xdr:row>
      <xdr:rowOff>2</xdr:rowOff>
    </xdr:from>
    <xdr:to>
      <xdr:col>26</xdr:col>
      <xdr:colOff>395011</xdr:colOff>
      <xdr:row>12</xdr:row>
      <xdr:rowOff>148691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18AB9B4-B331-4C64-B4EA-69D708246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31115" y="2"/>
          <a:ext cx="1137471" cy="2453739"/>
        </a:xfrm>
        <a:prstGeom prst="rect">
          <a:avLst/>
        </a:prstGeom>
      </xdr:spPr>
    </xdr:pic>
    <xdr:clientData/>
  </xdr:twoCellAnchor>
  <xdr:twoCellAnchor>
    <xdr:from>
      <xdr:col>26</xdr:col>
      <xdr:colOff>456773</xdr:colOff>
      <xdr:row>9</xdr:row>
      <xdr:rowOff>49548</xdr:rowOff>
    </xdr:from>
    <xdr:to>
      <xdr:col>27</xdr:col>
      <xdr:colOff>97558</xdr:colOff>
      <xdr:row>12</xdr:row>
      <xdr:rowOff>47746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977C09B-38F5-44B4-ABB5-98179E125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0348" y="1773573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174476</xdr:colOff>
      <xdr:row>9</xdr:row>
      <xdr:rowOff>43706</xdr:rowOff>
    </xdr:from>
    <xdr:to>
      <xdr:col>27</xdr:col>
      <xdr:colOff>477167</xdr:colOff>
      <xdr:row>12</xdr:row>
      <xdr:rowOff>41904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60C2DC-A3AF-4C86-BC55-A7D029658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5276" y="1767731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168125</xdr:colOff>
      <xdr:row>6</xdr:row>
      <xdr:rowOff>63998</xdr:rowOff>
    </xdr:from>
    <xdr:to>
      <xdr:col>27</xdr:col>
      <xdr:colOff>470816</xdr:colOff>
      <xdr:row>9</xdr:row>
      <xdr:rowOff>62196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3E51979-DB3D-45B8-863D-82FFC0A68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8925" y="1206998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161775</xdr:colOff>
      <xdr:row>3</xdr:row>
      <xdr:rowOff>28104</xdr:rowOff>
    </xdr:from>
    <xdr:to>
      <xdr:col>27</xdr:col>
      <xdr:colOff>464466</xdr:colOff>
      <xdr:row>6</xdr:row>
      <xdr:rowOff>16777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666E96A-4999-43C4-BCFB-C3E6113B9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2575" y="580554"/>
          <a:ext cx="302691" cy="579223"/>
        </a:xfrm>
        <a:prstGeom prst="rect">
          <a:avLst/>
        </a:prstGeom>
      </xdr:spPr>
    </xdr:pic>
    <xdr:clientData/>
  </xdr:twoCellAnchor>
  <xdr:twoCellAnchor>
    <xdr:from>
      <xdr:col>26</xdr:col>
      <xdr:colOff>486935</xdr:colOff>
      <xdr:row>3</xdr:row>
      <xdr:rowOff>29563</xdr:rowOff>
    </xdr:from>
    <xdr:to>
      <xdr:col>27</xdr:col>
      <xdr:colOff>127720</xdr:colOff>
      <xdr:row>6</xdr:row>
      <xdr:rowOff>18236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2A45CF3-B982-4D0E-B352-71BC170FC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510" y="582013"/>
          <a:ext cx="298010" cy="579223"/>
        </a:xfrm>
        <a:prstGeom prst="rect">
          <a:avLst/>
        </a:prstGeom>
      </xdr:spPr>
    </xdr:pic>
    <xdr:clientData/>
  </xdr:twoCellAnchor>
  <xdr:twoCellAnchor>
    <xdr:from>
      <xdr:col>26</xdr:col>
      <xdr:colOff>472648</xdr:colOff>
      <xdr:row>6</xdr:row>
      <xdr:rowOff>46475</xdr:rowOff>
    </xdr:from>
    <xdr:to>
      <xdr:col>27</xdr:col>
      <xdr:colOff>113433</xdr:colOff>
      <xdr:row>9</xdr:row>
      <xdr:rowOff>44673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136D4F-B0D4-4DFE-8B15-621F11E69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223" y="1189475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527198</xdr:colOff>
      <xdr:row>10</xdr:row>
      <xdr:rowOff>60581</xdr:rowOff>
    </xdr:from>
    <xdr:to>
      <xdr:col>28</xdr:col>
      <xdr:colOff>244344</xdr:colOff>
      <xdr:row>11</xdr:row>
      <xdr:rowOff>106620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8705EAF-74BB-455F-908A-C9F0A170B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8" y="1975106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528786</xdr:colOff>
      <xdr:row>3</xdr:row>
      <xdr:rowOff>175607</xdr:rowOff>
    </xdr:from>
    <xdr:to>
      <xdr:col>28</xdr:col>
      <xdr:colOff>245932</xdr:colOff>
      <xdr:row>5</xdr:row>
      <xdr:rowOff>21621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CEDDB2C-0188-453B-BF61-FDB2419E1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9586" y="728057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530373</xdr:colOff>
      <xdr:row>5</xdr:row>
      <xdr:rowOff>34784</xdr:rowOff>
    </xdr:from>
    <xdr:to>
      <xdr:col>28</xdr:col>
      <xdr:colOff>247519</xdr:colOff>
      <xdr:row>6</xdr:row>
      <xdr:rowOff>71298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2B098E3-5EA9-4E4C-BD39-9FC38A3F3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61173" y="977759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524024</xdr:colOff>
      <xdr:row>7</xdr:row>
      <xdr:rowOff>132677</xdr:rowOff>
    </xdr:from>
    <xdr:to>
      <xdr:col>28</xdr:col>
      <xdr:colOff>241170</xdr:colOff>
      <xdr:row>8</xdr:row>
      <xdr:rowOff>178716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C236B7A-D0C6-4B36-ACF2-79C98A507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4824" y="1475702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525612</xdr:colOff>
      <xdr:row>6</xdr:row>
      <xdr:rowOff>85920</xdr:rowOff>
    </xdr:from>
    <xdr:to>
      <xdr:col>28</xdr:col>
      <xdr:colOff>242758</xdr:colOff>
      <xdr:row>7</xdr:row>
      <xdr:rowOff>122434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5BFDF15-967B-462C-AA6E-A773101B1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6412" y="1228920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527199</xdr:colOff>
      <xdr:row>9</xdr:row>
      <xdr:rowOff>2839</xdr:rowOff>
    </xdr:from>
    <xdr:to>
      <xdr:col>28</xdr:col>
      <xdr:colOff>244345</xdr:colOff>
      <xdr:row>10</xdr:row>
      <xdr:rowOff>48878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87D9E6F-3D2E-43D0-928A-383CE5F9B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9" y="1726864"/>
          <a:ext cx="374371" cy="236539"/>
        </a:xfrm>
        <a:prstGeom prst="rect">
          <a:avLst/>
        </a:prstGeom>
      </xdr:spPr>
    </xdr:pic>
    <xdr:clientData/>
  </xdr:twoCellAnchor>
  <xdr:twoCellAnchor>
    <xdr:from>
      <xdr:col>28</xdr:col>
      <xdr:colOff>474537</xdr:colOff>
      <xdr:row>0</xdr:row>
      <xdr:rowOff>27746</xdr:rowOff>
    </xdr:from>
    <xdr:to>
      <xdr:col>30</xdr:col>
      <xdr:colOff>413338</xdr:colOff>
      <xdr:row>5</xdr:row>
      <xdr:rowOff>108165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4312B43-B1F4-4244-961B-BBF8A538B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62562" y="27746"/>
          <a:ext cx="1253251" cy="1023394"/>
        </a:xfrm>
        <a:prstGeom prst="rect">
          <a:avLst/>
        </a:prstGeom>
      </xdr:spPr>
    </xdr:pic>
    <xdr:clientData/>
  </xdr:twoCellAnchor>
  <xdr:twoCellAnchor>
    <xdr:from>
      <xdr:col>30</xdr:col>
      <xdr:colOff>478427</xdr:colOff>
      <xdr:row>0</xdr:row>
      <xdr:rowOff>29207</xdr:rowOff>
    </xdr:from>
    <xdr:to>
      <xdr:col>32</xdr:col>
      <xdr:colOff>422896</xdr:colOff>
      <xdr:row>5</xdr:row>
      <xdr:rowOff>109626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5F3E909-0F70-42B8-AB16-EEEECBCE6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280902" y="29207"/>
          <a:ext cx="1258919" cy="1023394"/>
        </a:xfrm>
        <a:prstGeom prst="rect">
          <a:avLst/>
        </a:prstGeom>
      </xdr:spPr>
    </xdr:pic>
    <xdr:clientData/>
  </xdr:twoCellAnchor>
  <xdr:twoCellAnchor>
    <xdr:from>
      <xdr:col>28</xdr:col>
      <xdr:colOff>450723</xdr:colOff>
      <xdr:row>7</xdr:row>
      <xdr:rowOff>72787</xdr:rowOff>
    </xdr:from>
    <xdr:to>
      <xdr:col>29</xdr:col>
      <xdr:colOff>176244</xdr:colOff>
      <xdr:row>9</xdr:row>
      <xdr:rowOff>151178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975F887-B007-46E8-9055-40ED230D0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8748" y="1415812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209249</xdr:colOff>
      <xdr:row>7</xdr:row>
      <xdr:rowOff>81549</xdr:rowOff>
    </xdr:from>
    <xdr:to>
      <xdr:col>29</xdr:col>
      <xdr:colOff>591480</xdr:colOff>
      <xdr:row>9</xdr:row>
      <xdr:rowOff>159940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1358B7F-136A-405C-ACE1-418344281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54499" y="1424574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632420</xdr:colOff>
      <xdr:row>7</xdr:row>
      <xdr:rowOff>75708</xdr:rowOff>
    </xdr:from>
    <xdr:to>
      <xdr:col>30</xdr:col>
      <xdr:colOff>369220</xdr:colOff>
      <xdr:row>9</xdr:row>
      <xdr:rowOff>154099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FC73AEC-20AF-49F3-85B3-00A6217E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7670" y="1418733"/>
          <a:ext cx="394025" cy="459391"/>
        </a:xfrm>
        <a:prstGeom prst="rect">
          <a:avLst/>
        </a:prstGeom>
      </xdr:spPr>
    </xdr:pic>
    <xdr:clientData/>
  </xdr:twoCellAnchor>
  <xdr:twoCellAnchor>
    <xdr:from>
      <xdr:col>28</xdr:col>
      <xdr:colOff>444373</xdr:colOff>
      <xdr:row>9</xdr:row>
      <xdr:rowOff>189731</xdr:rowOff>
    </xdr:from>
    <xdr:to>
      <xdr:col>29</xdr:col>
      <xdr:colOff>169894</xdr:colOff>
      <xdr:row>12</xdr:row>
      <xdr:rowOff>68097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A41D97F-AB56-439C-A9CC-B219467F6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2398" y="1913756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202899</xdr:colOff>
      <xdr:row>10</xdr:row>
      <xdr:rowOff>7992</xdr:rowOff>
    </xdr:from>
    <xdr:to>
      <xdr:col>29</xdr:col>
      <xdr:colOff>585130</xdr:colOff>
      <xdr:row>12</xdr:row>
      <xdr:rowOff>76858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D182567-7E14-4A5E-A4BF-1308FCC22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48149" y="1922517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626070</xdr:colOff>
      <xdr:row>10</xdr:row>
      <xdr:rowOff>2152</xdr:rowOff>
    </xdr:from>
    <xdr:to>
      <xdr:col>30</xdr:col>
      <xdr:colOff>362870</xdr:colOff>
      <xdr:row>12</xdr:row>
      <xdr:rowOff>71018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1EE92D2-EC15-4D9D-ACCF-9AC5B8ACC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1320" y="1916677"/>
          <a:ext cx="394025" cy="459391"/>
        </a:xfrm>
        <a:prstGeom prst="rect">
          <a:avLst/>
        </a:prstGeom>
      </xdr:spPr>
    </xdr:pic>
    <xdr:clientData/>
  </xdr:twoCellAnchor>
  <xdr:twoCellAnchor>
    <xdr:from>
      <xdr:col>31</xdr:col>
      <xdr:colOff>80696</xdr:colOff>
      <xdr:row>7</xdr:row>
      <xdr:rowOff>69795</xdr:rowOff>
    </xdr:from>
    <xdr:to>
      <xdr:col>33</xdr:col>
      <xdr:colOff>122687</xdr:colOff>
      <xdr:row>8</xdr:row>
      <xdr:rowOff>79421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8F9C0DE-FD83-47A6-97F5-E5EEB3208A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0396" y="1412820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74346</xdr:colOff>
      <xdr:row>8</xdr:row>
      <xdr:rowOff>107093</xdr:rowOff>
    </xdr:from>
    <xdr:to>
      <xdr:col>33</xdr:col>
      <xdr:colOff>116337</xdr:colOff>
      <xdr:row>9</xdr:row>
      <xdr:rowOff>116719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417D058-5B90-46F1-8ED4-E440FA71AB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4046" y="1640618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83871</xdr:colOff>
      <xdr:row>9</xdr:row>
      <xdr:rowOff>137090</xdr:rowOff>
    </xdr:from>
    <xdr:to>
      <xdr:col>33</xdr:col>
      <xdr:colOff>125862</xdr:colOff>
      <xdr:row>10</xdr:row>
      <xdr:rowOff>146716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86E14CE-77F9-496D-BD23-1994F6067E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3571" y="1861115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77521</xdr:colOff>
      <xdr:row>10</xdr:row>
      <xdr:rowOff>167088</xdr:rowOff>
    </xdr:from>
    <xdr:to>
      <xdr:col>33</xdr:col>
      <xdr:colOff>119512</xdr:colOff>
      <xdr:row>11</xdr:row>
      <xdr:rowOff>176714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51635D6-0812-429C-BA22-F548AB5A81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7221" y="2081613"/>
          <a:ext cx="1356441" cy="200126"/>
        </a:xfrm>
        <a:prstGeom prst="rect">
          <a:avLst/>
        </a:prstGeom>
      </xdr:spPr>
    </xdr:pic>
    <xdr:clientData/>
  </xdr:twoCellAnchor>
  <xdr:twoCellAnchor>
    <xdr:from>
      <xdr:col>29</xdr:col>
      <xdr:colOff>136222</xdr:colOff>
      <xdr:row>13</xdr:row>
      <xdr:rowOff>181728</xdr:rowOff>
    </xdr:from>
    <xdr:to>
      <xdr:col>32</xdr:col>
      <xdr:colOff>514975</xdr:colOff>
      <xdr:row>21</xdr:row>
      <xdr:rowOff>95692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FE126BE6-EF65-4A7A-8468-E3C73A975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281472" y="2686803"/>
          <a:ext cx="2350428" cy="1476064"/>
        </a:xfrm>
        <a:prstGeom prst="rect">
          <a:avLst/>
        </a:prstGeom>
      </xdr:spPr>
    </xdr:pic>
    <xdr:clientData/>
  </xdr:twoCellAnchor>
  <xdr:twoCellAnchor>
    <xdr:from>
      <xdr:col>27</xdr:col>
      <xdr:colOff>7356</xdr:colOff>
      <xdr:row>13</xdr:row>
      <xdr:rowOff>7500</xdr:rowOff>
    </xdr:from>
    <xdr:to>
      <xdr:col>29</xdr:col>
      <xdr:colOff>154391</xdr:colOff>
      <xdr:row>28</xdr:row>
      <xdr:rowOff>23540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B72D0CA-40AD-4D23-93EA-93928E403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838156" y="2512575"/>
          <a:ext cx="1461485" cy="2940215"/>
        </a:xfrm>
        <a:prstGeom prst="rect">
          <a:avLst/>
        </a:prstGeom>
      </xdr:spPr>
    </xdr:pic>
    <xdr:clientData/>
  </xdr:twoCellAnchor>
  <xdr:twoCellAnchor>
    <xdr:from>
      <xdr:col>23</xdr:col>
      <xdr:colOff>121606</xdr:colOff>
      <xdr:row>13</xdr:row>
      <xdr:rowOff>47154</xdr:rowOff>
    </xdr:from>
    <xdr:to>
      <xdr:col>27</xdr:col>
      <xdr:colOff>37960</xdr:colOff>
      <xdr:row>28</xdr:row>
      <xdr:rowOff>16188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FF21633-E99A-49D9-9312-3BD6F5FD1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256831" y="2552229"/>
          <a:ext cx="2611929" cy="2893209"/>
        </a:xfrm>
        <a:prstGeom prst="rect">
          <a:avLst/>
        </a:prstGeom>
      </xdr:spPr>
    </xdr:pic>
    <xdr:clientData/>
  </xdr:twoCellAnchor>
  <xdr:twoCellAnchor>
    <xdr:from>
      <xdr:col>23</xdr:col>
      <xdr:colOff>177171</xdr:colOff>
      <xdr:row>32</xdr:row>
      <xdr:rowOff>84602</xdr:rowOff>
    </xdr:from>
    <xdr:to>
      <xdr:col>25</xdr:col>
      <xdr:colOff>474283</xdr:colOff>
      <xdr:row>36</xdr:row>
      <xdr:rowOff>134498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1A289FE1-0B68-4D1E-B89F-E7D4674F0A25}"/>
            </a:ext>
          </a:extLst>
        </xdr:cNvPr>
        <xdr:cNvSpPr/>
      </xdr:nvSpPr>
      <xdr:spPr>
        <a:xfrm>
          <a:off x="15312396" y="6275852"/>
          <a:ext cx="1611562" cy="811896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Note Box</a:t>
          </a:r>
        </a:p>
      </xdr:txBody>
    </xdr:sp>
    <xdr:clientData/>
  </xdr:twoCellAnchor>
  <xdr:twoCellAnchor>
    <xdr:from>
      <xdr:col>23</xdr:col>
      <xdr:colOff>505606</xdr:colOff>
      <xdr:row>31</xdr:row>
      <xdr:rowOff>121777</xdr:rowOff>
    </xdr:from>
    <xdr:to>
      <xdr:col>24</xdr:col>
      <xdr:colOff>341590</xdr:colOff>
      <xdr:row>31</xdr:row>
      <xdr:rowOff>121778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8D80AF5-5516-4034-81E4-7A2AE1C96CBC}"/>
            </a:ext>
          </a:extLst>
        </xdr:cNvPr>
        <xdr:cNvCxnSpPr/>
      </xdr:nvCxnSpPr>
      <xdr:spPr>
        <a:xfrm flipV="1">
          <a:off x="15640831" y="6122527"/>
          <a:ext cx="493209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590358</xdr:colOff>
      <xdr:row>34</xdr:row>
      <xdr:rowOff>46761</xdr:rowOff>
    </xdr:from>
    <xdr:to>
      <xdr:col>26</xdr:col>
      <xdr:colOff>319175</xdr:colOff>
      <xdr:row>36</xdr:row>
      <xdr:rowOff>97993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B3404BBD-B30C-4FA1-9740-DB7E760B1D50}"/>
            </a:ext>
          </a:extLst>
        </xdr:cNvPr>
        <xdr:cNvSpPr/>
      </xdr:nvSpPr>
      <xdr:spPr>
        <a:xfrm>
          <a:off x="17040033" y="6619011"/>
          <a:ext cx="452717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416016</xdr:colOff>
      <xdr:row>34</xdr:row>
      <xdr:rowOff>62820</xdr:rowOff>
    </xdr:from>
    <xdr:to>
      <xdr:col>27</xdr:col>
      <xdr:colOff>216454</xdr:colOff>
      <xdr:row>36</xdr:row>
      <xdr:rowOff>114052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10FE007F-4DCC-498E-BBB1-B792B67CFA58}"/>
            </a:ext>
          </a:extLst>
        </xdr:cNvPr>
        <xdr:cNvSpPr/>
      </xdr:nvSpPr>
      <xdr:spPr>
        <a:xfrm>
          <a:off x="17589591" y="6635070"/>
          <a:ext cx="457663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584009</xdr:colOff>
      <xdr:row>31</xdr:row>
      <xdr:rowOff>101335</xdr:rowOff>
    </xdr:from>
    <xdr:to>
      <xdr:col>26</xdr:col>
      <xdr:colOff>312826</xdr:colOff>
      <xdr:row>33</xdr:row>
      <xdr:rowOff>143806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DC04853B-906D-48D5-B4F2-899840F9ECE3}"/>
            </a:ext>
          </a:extLst>
        </xdr:cNvPr>
        <xdr:cNvSpPr/>
      </xdr:nvSpPr>
      <xdr:spPr>
        <a:xfrm>
          <a:off x="17033684" y="6102085"/>
          <a:ext cx="452717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409665</xdr:colOff>
      <xdr:row>31</xdr:row>
      <xdr:rowOff>95495</xdr:rowOff>
    </xdr:from>
    <xdr:to>
      <xdr:col>27</xdr:col>
      <xdr:colOff>210103</xdr:colOff>
      <xdr:row>33</xdr:row>
      <xdr:rowOff>137966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E1B52B1A-2351-48AF-83AC-98354294BF06}"/>
            </a:ext>
          </a:extLst>
        </xdr:cNvPr>
        <xdr:cNvSpPr/>
      </xdr:nvSpPr>
      <xdr:spPr>
        <a:xfrm>
          <a:off x="17583240" y="6096245"/>
          <a:ext cx="457663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577658</xdr:colOff>
      <xdr:row>28</xdr:row>
      <xdr:rowOff>163209</xdr:rowOff>
    </xdr:from>
    <xdr:to>
      <xdr:col>26</xdr:col>
      <xdr:colOff>306475</xdr:colOff>
      <xdr:row>31</xdr:row>
      <xdr:rowOff>15180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B963A622-8C19-4B5D-921C-6F826B039152}"/>
            </a:ext>
          </a:extLst>
        </xdr:cNvPr>
        <xdr:cNvSpPr/>
      </xdr:nvSpPr>
      <xdr:spPr>
        <a:xfrm>
          <a:off x="17027333" y="5592459"/>
          <a:ext cx="452717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395377</xdr:colOff>
      <xdr:row>28</xdr:row>
      <xdr:rowOff>150064</xdr:rowOff>
    </xdr:from>
    <xdr:to>
      <xdr:col>27</xdr:col>
      <xdr:colOff>195815</xdr:colOff>
      <xdr:row>31</xdr:row>
      <xdr:rowOff>2035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65FF61BC-9A16-49EE-BB67-53A61991BC8F}"/>
            </a:ext>
          </a:extLst>
        </xdr:cNvPr>
        <xdr:cNvSpPr/>
      </xdr:nvSpPr>
      <xdr:spPr>
        <a:xfrm>
          <a:off x="17568952" y="5579314"/>
          <a:ext cx="457663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382867</xdr:colOff>
      <xdr:row>31</xdr:row>
      <xdr:rowOff>123237</xdr:rowOff>
    </xdr:from>
    <xdr:to>
      <xdr:col>25</xdr:col>
      <xdr:colOff>245676</xdr:colOff>
      <xdr:row>31</xdr:row>
      <xdr:rowOff>123238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E39182DF-EAAE-4F47-9FF2-AFC716D1DE2B}"/>
            </a:ext>
          </a:extLst>
        </xdr:cNvPr>
        <xdr:cNvCxnSpPr/>
      </xdr:nvCxnSpPr>
      <xdr:spPr>
        <a:xfrm flipV="1">
          <a:off x="16175317" y="6123987"/>
          <a:ext cx="520034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507193</xdr:colOff>
      <xdr:row>30</xdr:row>
      <xdr:rowOff>80094</xdr:rowOff>
    </xdr:from>
    <xdr:to>
      <xdr:col>24</xdr:col>
      <xdr:colOff>343177</xdr:colOff>
      <xdr:row>30</xdr:row>
      <xdr:rowOff>80095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A73AEA82-C77A-4783-8179-62FC7D42BA2E}"/>
            </a:ext>
          </a:extLst>
        </xdr:cNvPr>
        <xdr:cNvCxnSpPr/>
      </xdr:nvCxnSpPr>
      <xdr:spPr>
        <a:xfrm flipV="1">
          <a:off x="15642418" y="5890344"/>
          <a:ext cx="493209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384454</xdr:colOff>
      <xdr:row>30</xdr:row>
      <xdr:rowOff>81556</xdr:rowOff>
    </xdr:from>
    <xdr:to>
      <xdr:col>25</xdr:col>
      <xdr:colOff>247263</xdr:colOff>
      <xdr:row>30</xdr:row>
      <xdr:rowOff>81557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35930C65-0755-46F9-8571-20D35E5D6DD9}"/>
            </a:ext>
          </a:extLst>
        </xdr:cNvPr>
        <xdr:cNvCxnSpPr/>
      </xdr:nvCxnSpPr>
      <xdr:spPr>
        <a:xfrm flipV="1">
          <a:off x="16176904" y="5891806"/>
          <a:ext cx="520034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495173</xdr:colOff>
      <xdr:row>29</xdr:row>
      <xdr:rowOff>31114</xdr:rowOff>
    </xdr:from>
    <xdr:to>
      <xdr:col>24</xdr:col>
      <xdr:colOff>344764</xdr:colOff>
      <xdr:row>29</xdr:row>
      <xdr:rowOff>31115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1A5F13E9-89D3-437D-BC46-DA694DD315FA}"/>
            </a:ext>
          </a:extLst>
        </xdr:cNvPr>
        <xdr:cNvCxnSpPr/>
      </xdr:nvCxnSpPr>
      <xdr:spPr>
        <a:xfrm flipV="1">
          <a:off x="15630398" y="5650864"/>
          <a:ext cx="506816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386042</xdr:colOff>
      <xdr:row>29</xdr:row>
      <xdr:rowOff>32576</xdr:rowOff>
    </xdr:from>
    <xdr:to>
      <xdr:col>25</xdr:col>
      <xdr:colOff>248851</xdr:colOff>
      <xdr:row>29</xdr:row>
      <xdr:rowOff>32577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2B9B6231-D0D4-4A7E-830E-89B0B6C9839A}"/>
            </a:ext>
          </a:extLst>
        </xdr:cNvPr>
        <xdr:cNvCxnSpPr/>
      </xdr:nvCxnSpPr>
      <xdr:spPr>
        <a:xfrm flipV="1">
          <a:off x="16178492" y="5652326"/>
          <a:ext cx="520034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88679</xdr:colOff>
      <xdr:row>45</xdr:row>
      <xdr:rowOff>9525</xdr:rowOff>
    </xdr:from>
    <xdr:to>
      <xdr:col>22</xdr:col>
      <xdr:colOff>558165</xdr:colOff>
      <xdr:row>50</xdr:row>
      <xdr:rowOff>166275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67EA0B7-462D-443A-97EF-0999B2514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909454" y="8696325"/>
          <a:ext cx="1126711" cy="1128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98533</xdr:colOff>
      <xdr:row>45</xdr:row>
      <xdr:rowOff>14968</xdr:rowOff>
    </xdr:from>
    <xdr:to>
      <xdr:col>20</xdr:col>
      <xdr:colOff>566348</xdr:colOff>
      <xdr:row>50</xdr:row>
      <xdr:rowOff>174042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A45C7E02-E111-43ED-BE22-7E6B62CD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604858" y="8701768"/>
          <a:ext cx="1125040" cy="113062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111377</xdr:colOff>
      <xdr:row>0</xdr:row>
      <xdr:rowOff>13145</xdr:rowOff>
    </xdr:from>
    <xdr:to>
      <xdr:col>24</xdr:col>
      <xdr:colOff>566655</xdr:colOff>
      <xdr:row>12</xdr:row>
      <xdr:rowOff>167049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AC61ED-873B-4DF5-891C-E98D1D2B9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6602" y="13145"/>
          <a:ext cx="1112503" cy="2458954"/>
        </a:xfrm>
        <a:prstGeom prst="rect">
          <a:avLst/>
        </a:prstGeom>
      </xdr:spPr>
    </xdr:pic>
    <xdr:clientData/>
  </xdr:twoCellAnchor>
  <xdr:twoCellAnchor>
    <xdr:from>
      <xdr:col>24</xdr:col>
      <xdr:colOff>638665</xdr:colOff>
      <xdr:row>0</xdr:row>
      <xdr:rowOff>2</xdr:rowOff>
    </xdr:from>
    <xdr:to>
      <xdr:col>26</xdr:col>
      <xdr:colOff>395011</xdr:colOff>
      <xdr:row>12</xdr:row>
      <xdr:rowOff>148691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0E25F8-B349-43EC-B267-A9D1C068A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31115" y="2"/>
          <a:ext cx="1137471" cy="2453739"/>
        </a:xfrm>
        <a:prstGeom prst="rect">
          <a:avLst/>
        </a:prstGeom>
      </xdr:spPr>
    </xdr:pic>
    <xdr:clientData/>
  </xdr:twoCellAnchor>
  <xdr:twoCellAnchor>
    <xdr:from>
      <xdr:col>26</xdr:col>
      <xdr:colOff>456773</xdr:colOff>
      <xdr:row>9</xdr:row>
      <xdr:rowOff>49548</xdr:rowOff>
    </xdr:from>
    <xdr:to>
      <xdr:col>27</xdr:col>
      <xdr:colOff>97558</xdr:colOff>
      <xdr:row>12</xdr:row>
      <xdr:rowOff>47746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B956BD1-34EC-4631-992E-5CE5BC925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0348" y="1773573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174476</xdr:colOff>
      <xdr:row>9</xdr:row>
      <xdr:rowOff>43706</xdr:rowOff>
    </xdr:from>
    <xdr:to>
      <xdr:col>27</xdr:col>
      <xdr:colOff>477167</xdr:colOff>
      <xdr:row>12</xdr:row>
      <xdr:rowOff>41904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8F595A-66EB-4836-A2B9-8F1AAA143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5276" y="1767731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168125</xdr:colOff>
      <xdr:row>6</xdr:row>
      <xdr:rowOff>63998</xdr:rowOff>
    </xdr:from>
    <xdr:to>
      <xdr:col>27</xdr:col>
      <xdr:colOff>470816</xdr:colOff>
      <xdr:row>9</xdr:row>
      <xdr:rowOff>62196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99C5250-74FF-4482-B335-39BE2D363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8925" y="1206998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161775</xdr:colOff>
      <xdr:row>3</xdr:row>
      <xdr:rowOff>28104</xdr:rowOff>
    </xdr:from>
    <xdr:to>
      <xdr:col>27</xdr:col>
      <xdr:colOff>464466</xdr:colOff>
      <xdr:row>6</xdr:row>
      <xdr:rowOff>16777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5368791-78EA-4F40-9919-985EF45F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2575" y="580554"/>
          <a:ext cx="302691" cy="579223"/>
        </a:xfrm>
        <a:prstGeom prst="rect">
          <a:avLst/>
        </a:prstGeom>
      </xdr:spPr>
    </xdr:pic>
    <xdr:clientData/>
  </xdr:twoCellAnchor>
  <xdr:twoCellAnchor>
    <xdr:from>
      <xdr:col>26</xdr:col>
      <xdr:colOff>486935</xdr:colOff>
      <xdr:row>3</xdr:row>
      <xdr:rowOff>29563</xdr:rowOff>
    </xdr:from>
    <xdr:to>
      <xdr:col>27</xdr:col>
      <xdr:colOff>127720</xdr:colOff>
      <xdr:row>6</xdr:row>
      <xdr:rowOff>18236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075C76D-8797-46E2-B6B3-EBD08B000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510" y="582013"/>
          <a:ext cx="298010" cy="579223"/>
        </a:xfrm>
        <a:prstGeom prst="rect">
          <a:avLst/>
        </a:prstGeom>
      </xdr:spPr>
    </xdr:pic>
    <xdr:clientData/>
  </xdr:twoCellAnchor>
  <xdr:twoCellAnchor>
    <xdr:from>
      <xdr:col>26</xdr:col>
      <xdr:colOff>472648</xdr:colOff>
      <xdr:row>6</xdr:row>
      <xdr:rowOff>46475</xdr:rowOff>
    </xdr:from>
    <xdr:to>
      <xdr:col>27</xdr:col>
      <xdr:colOff>113433</xdr:colOff>
      <xdr:row>9</xdr:row>
      <xdr:rowOff>44673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5771385-B634-4BD2-862C-0759CF64A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223" y="1189475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527198</xdr:colOff>
      <xdr:row>10</xdr:row>
      <xdr:rowOff>60581</xdr:rowOff>
    </xdr:from>
    <xdr:to>
      <xdr:col>28</xdr:col>
      <xdr:colOff>244344</xdr:colOff>
      <xdr:row>11</xdr:row>
      <xdr:rowOff>106620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533716A-FFC9-41E7-9E27-A5C5A6790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8" y="1975106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528786</xdr:colOff>
      <xdr:row>3</xdr:row>
      <xdr:rowOff>175607</xdr:rowOff>
    </xdr:from>
    <xdr:to>
      <xdr:col>28</xdr:col>
      <xdr:colOff>245932</xdr:colOff>
      <xdr:row>5</xdr:row>
      <xdr:rowOff>21621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2FA52C0-5546-4964-A4E6-FC17610DB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9586" y="728057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530373</xdr:colOff>
      <xdr:row>5</xdr:row>
      <xdr:rowOff>34784</xdr:rowOff>
    </xdr:from>
    <xdr:to>
      <xdr:col>28</xdr:col>
      <xdr:colOff>247519</xdr:colOff>
      <xdr:row>6</xdr:row>
      <xdr:rowOff>71298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325C7D7-DD84-4717-8AB6-D8DC1D2C5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61173" y="977759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524024</xdr:colOff>
      <xdr:row>7</xdr:row>
      <xdr:rowOff>132677</xdr:rowOff>
    </xdr:from>
    <xdr:to>
      <xdr:col>28</xdr:col>
      <xdr:colOff>241170</xdr:colOff>
      <xdr:row>8</xdr:row>
      <xdr:rowOff>178716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6ADE84B-CB8B-4254-BE15-396A529E8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4824" y="1475702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525612</xdr:colOff>
      <xdr:row>6</xdr:row>
      <xdr:rowOff>85920</xdr:rowOff>
    </xdr:from>
    <xdr:to>
      <xdr:col>28</xdr:col>
      <xdr:colOff>242758</xdr:colOff>
      <xdr:row>7</xdr:row>
      <xdr:rowOff>122434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59A45A2-99ED-46F3-88C3-3B9428893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6412" y="1228920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527199</xdr:colOff>
      <xdr:row>9</xdr:row>
      <xdr:rowOff>2839</xdr:rowOff>
    </xdr:from>
    <xdr:to>
      <xdr:col>28</xdr:col>
      <xdr:colOff>244345</xdr:colOff>
      <xdr:row>10</xdr:row>
      <xdr:rowOff>48878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D4CE13B-4BE7-451C-A273-321F1CC83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9" y="1726864"/>
          <a:ext cx="374371" cy="236539"/>
        </a:xfrm>
        <a:prstGeom prst="rect">
          <a:avLst/>
        </a:prstGeom>
      </xdr:spPr>
    </xdr:pic>
    <xdr:clientData/>
  </xdr:twoCellAnchor>
  <xdr:twoCellAnchor>
    <xdr:from>
      <xdr:col>28</xdr:col>
      <xdr:colOff>474537</xdr:colOff>
      <xdr:row>0</xdr:row>
      <xdr:rowOff>27746</xdr:rowOff>
    </xdr:from>
    <xdr:to>
      <xdr:col>30</xdr:col>
      <xdr:colOff>413338</xdr:colOff>
      <xdr:row>5</xdr:row>
      <xdr:rowOff>108165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63EB36C-731E-492B-BDED-614E28257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62562" y="27746"/>
          <a:ext cx="1253251" cy="1023394"/>
        </a:xfrm>
        <a:prstGeom prst="rect">
          <a:avLst/>
        </a:prstGeom>
      </xdr:spPr>
    </xdr:pic>
    <xdr:clientData/>
  </xdr:twoCellAnchor>
  <xdr:twoCellAnchor>
    <xdr:from>
      <xdr:col>30</xdr:col>
      <xdr:colOff>478427</xdr:colOff>
      <xdr:row>0</xdr:row>
      <xdr:rowOff>29207</xdr:rowOff>
    </xdr:from>
    <xdr:to>
      <xdr:col>32</xdr:col>
      <xdr:colOff>422896</xdr:colOff>
      <xdr:row>5</xdr:row>
      <xdr:rowOff>109626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693749A-EF67-47B6-A314-8E146836F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280902" y="29207"/>
          <a:ext cx="1258919" cy="1023394"/>
        </a:xfrm>
        <a:prstGeom prst="rect">
          <a:avLst/>
        </a:prstGeom>
      </xdr:spPr>
    </xdr:pic>
    <xdr:clientData/>
  </xdr:twoCellAnchor>
  <xdr:twoCellAnchor>
    <xdr:from>
      <xdr:col>28</xdr:col>
      <xdr:colOff>450723</xdr:colOff>
      <xdr:row>7</xdr:row>
      <xdr:rowOff>72787</xdr:rowOff>
    </xdr:from>
    <xdr:to>
      <xdr:col>29</xdr:col>
      <xdr:colOff>176244</xdr:colOff>
      <xdr:row>9</xdr:row>
      <xdr:rowOff>151178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EFCA3BF-656C-49F5-AC49-C060FD423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8748" y="1415812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209249</xdr:colOff>
      <xdr:row>7</xdr:row>
      <xdr:rowOff>81549</xdr:rowOff>
    </xdr:from>
    <xdr:to>
      <xdr:col>29</xdr:col>
      <xdr:colOff>591480</xdr:colOff>
      <xdr:row>9</xdr:row>
      <xdr:rowOff>159940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F217D80-7188-4884-8392-FA47AC99D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54499" y="1424574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632420</xdr:colOff>
      <xdr:row>7</xdr:row>
      <xdr:rowOff>75708</xdr:rowOff>
    </xdr:from>
    <xdr:to>
      <xdr:col>30</xdr:col>
      <xdr:colOff>369220</xdr:colOff>
      <xdr:row>9</xdr:row>
      <xdr:rowOff>154099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69A4A9C-0A18-47A7-A0CA-95BCE84A2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7670" y="1418733"/>
          <a:ext cx="394025" cy="459391"/>
        </a:xfrm>
        <a:prstGeom prst="rect">
          <a:avLst/>
        </a:prstGeom>
      </xdr:spPr>
    </xdr:pic>
    <xdr:clientData/>
  </xdr:twoCellAnchor>
  <xdr:twoCellAnchor>
    <xdr:from>
      <xdr:col>28</xdr:col>
      <xdr:colOff>444373</xdr:colOff>
      <xdr:row>9</xdr:row>
      <xdr:rowOff>189731</xdr:rowOff>
    </xdr:from>
    <xdr:to>
      <xdr:col>29</xdr:col>
      <xdr:colOff>169894</xdr:colOff>
      <xdr:row>12</xdr:row>
      <xdr:rowOff>68097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1D55548-23A7-46CB-A5FA-A8AA2997B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2398" y="1913756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202899</xdr:colOff>
      <xdr:row>10</xdr:row>
      <xdr:rowOff>7992</xdr:rowOff>
    </xdr:from>
    <xdr:to>
      <xdr:col>29</xdr:col>
      <xdr:colOff>585130</xdr:colOff>
      <xdr:row>12</xdr:row>
      <xdr:rowOff>76858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98FA2A4-D784-4792-A05F-3C878C451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48149" y="1922517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626070</xdr:colOff>
      <xdr:row>10</xdr:row>
      <xdr:rowOff>2152</xdr:rowOff>
    </xdr:from>
    <xdr:to>
      <xdr:col>30</xdr:col>
      <xdr:colOff>362870</xdr:colOff>
      <xdr:row>12</xdr:row>
      <xdr:rowOff>71018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9627678-98EB-45E8-B9E3-5F36E2FF2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1320" y="1916677"/>
          <a:ext cx="394025" cy="459391"/>
        </a:xfrm>
        <a:prstGeom prst="rect">
          <a:avLst/>
        </a:prstGeom>
      </xdr:spPr>
    </xdr:pic>
    <xdr:clientData/>
  </xdr:twoCellAnchor>
  <xdr:twoCellAnchor>
    <xdr:from>
      <xdr:col>31</xdr:col>
      <xdr:colOff>80696</xdr:colOff>
      <xdr:row>7</xdr:row>
      <xdr:rowOff>69795</xdr:rowOff>
    </xdr:from>
    <xdr:to>
      <xdr:col>33</xdr:col>
      <xdr:colOff>122687</xdr:colOff>
      <xdr:row>8</xdr:row>
      <xdr:rowOff>79421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59EF1C1-BCBC-48FB-A60C-D9E5E3E111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0396" y="1412820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74346</xdr:colOff>
      <xdr:row>8</xdr:row>
      <xdr:rowOff>107093</xdr:rowOff>
    </xdr:from>
    <xdr:to>
      <xdr:col>33</xdr:col>
      <xdr:colOff>116337</xdr:colOff>
      <xdr:row>9</xdr:row>
      <xdr:rowOff>116719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6878E3F-53B6-4F73-9BEF-8239B64257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4046" y="1640618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83871</xdr:colOff>
      <xdr:row>9</xdr:row>
      <xdr:rowOff>137090</xdr:rowOff>
    </xdr:from>
    <xdr:to>
      <xdr:col>33</xdr:col>
      <xdr:colOff>125862</xdr:colOff>
      <xdr:row>10</xdr:row>
      <xdr:rowOff>146716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DC5F06F-F4A3-4818-8AC7-C6883BB2AD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3571" y="1861115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77521</xdr:colOff>
      <xdr:row>10</xdr:row>
      <xdr:rowOff>167088</xdr:rowOff>
    </xdr:from>
    <xdr:to>
      <xdr:col>33</xdr:col>
      <xdr:colOff>119512</xdr:colOff>
      <xdr:row>11</xdr:row>
      <xdr:rowOff>176714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62A4A125-AF2D-4ACD-83A3-E4DC3D857F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7221" y="2081613"/>
          <a:ext cx="1356441" cy="200126"/>
        </a:xfrm>
        <a:prstGeom prst="rect">
          <a:avLst/>
        </a:prstGeom>
      </xdr:spPr>
    </xdr:pic>
    <xdr:clientData/>
  </xdr:twoCellAnchor>
  <xdr:twoCellAnchor>
    <xdr:from>
      <xdr:col>29</xdr:col>
      <xdr:colOff>136222</xdr:colOff>
      <xdr:row>13</xdr:row>
      <xdr:rowOff>181728</xdr:rowOff>
    </xdr:from>
    <xdr:to>
      <xdr:col>32</xdr:col>
      <xdr:colOff>514975</xdr:colOff>
      <xdr:row>21</xdr:row>
      <xdr:rowOff>95692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2B1D71F-C549-48D6-8109-0D64A2F6D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281472" y="2686803"/>
          <a:ext cx="2350428" cy="1476064"/>
        </a:xfrm>
        <a:prstGeom prst="rect">
          <a:avLst/>
        </a:prstGeom>
      </xdr:spPr>
    </xdr:pic>
    <xdr:clientData/>
  </xdr:twoCellAnchor>
  <xdr:twoCellAnchor>
    <xdr:from>
      <xdr:col>27</xdr:col>
      <xdr:colOff>7356</xdr:colOff>
      <xdr:row>13</xdr:row>
      <xdr:rowOff>7500</xdr:rowOff>
    </xdr:from>
    <xdr:to>
      <xdr:col>29</xdr:col>
      <xdr:colOff>154391</xdr:colOff>
      <xdr:row>28</xdr:row>
      <xdr:rowOff>23540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44C4F35-05DA-4292-84DA-DAD26F5AD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838156" y="2512575"/>
          <a:ext cx="1461485" cy="2940215"/>
        </a:xfrm>
        <a:prstGeom prst="rect">
          <a:avLst/>
        </a:prstGeom>
      </xdr:spPr>
    </xdr:pic>
    <xdr:clientData/>
  </xdr:twoCellAnchor>
  <xdr:twoCellAnchor>
    <xdr:from>
      <xdr:col>23</xdr:col>
      <xdr:colOff>121606</xdr:colOff>
      <xdr:row>13</xdr:row>
      <xdr:rowOff>47154</xdr:rowOff>
    </xdr:from>
    <xdr:to>
      <xdr:col>27</xdr:col>
      <xdr:colOff>37960</xdr:colOff>
      <xdr:row>28</xdr:row>
      <xdr:rowOff>16188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18F3C544-BB16-4E83-92D8-0D6010E48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256831" y="2552229"/>
          <a:ext cx="2611929" cy="2893209"/>
        </a:xfrm>
        <a:prstGeom prst="rect">
          <a:avLst/>
        </a:prstGeom>
      </xdr:spPr>
    </xdr:pic>
    <xdr:clientData/>
  </xdr:twoCellAnchor>
  <xdr:twoCellAnchor>
    <xdr:from>
      <xdr:col>23</xdr:col>
      <xdr:colOff>177171</xdr:colOff>
      <xdr:row>32</xdr:row>
      <xdr:rowOff>84602</xdr:rowOff>
    </xdr:from>
    <xdr:to>
      <xdr:col>25</xdr:col>
      <xdr:colOff>474283</xdr:colOff>
      <xdr:row>36</xdr:row>
      <xdr:rowOff>134498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5CF5E48F-2A8D-42BC-B24B-77340831D141}"/>
            </a:ext>
          </a:extLst>
        </xdr:cNvPr>
        <xdr:cNvSpPr/>
      </xdr:nvSpPr>
      <xdr:spPr>
        <a:xfrm>
          <a:off x="15312396" y="6275852"/>
          <a:ext cx="1611562" cy="811896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Note Box</a:t>
          </a:r>
        </a:p>
      </xdr:txBody>
    </xdr:sp>
    <xdr:clientData/>
  </xdr:twoCellAnchor>
  <xdr:twoCellAnchor>
    <xdr:from>
      <xdr:col>23</xdr:col>
      <xdr:colOff>505606</xdr:colOff>
      <xdr:row>31</xdr:row>
      <xdr:rowOff>121777</xdr:rowOff>
    </xdr:from>
    <xdr:to>
      <xdr:col>24</xdr:col>
      <xdr:colOff>341590</xdr:colOff>
      <xdr:row>31</xdr:row>
      <xdr:rowOff>121778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FB48EAFB-CA9D-439A-92D6-34D6399C638C}"/>
            </a:ext>
          </a:extLst>
        </xdr:cNvPr>
        <xdr:cNvCxnSpPr/>
      </xdr:nvCxnSpPr>
      <xdr:spPr>
        <a:xfrm flipV="1">
          <a:off x="15640831" y="6122527"/>
          <a:ext cx="493209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590358</xdr:colOff>
      <xdr:row>34</xdr:row>
      <xdr:rowOff>46761</xdr:rowOff>
    </xdr:from>
    <xdr:to>
      <xdr:col>26</xdr:col>
      <xdr:colOff>319175</xdr:colOff>
      <xdr:row>36</xdr:row>
      <xdr:rowOff>97993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14C487DA-6499-48BF-AE52-A3677463DFE8}"/>
            </a:ext>
          </a:extLst>
        </xdr:cNvPr>
        <xdr:cNvSpPr/>
      </xdr:nvSpPr>
      <xdr:spPr>
        <a:xfrm>
          <a:off x="17040033" y="6619011"/>
          <a:ext cx="452717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416016</xdr:colOff>
      <xdr:row>34</xdr:row>
      <xdr:rowOff>62820</xdr:rowOff>
    </xdr:from>
    <xdr:to>
      <xdr:col>27</xdr:col>
      <xdr:colOff>216454</xdr:colOff>
      <xdr:row>36</xdr:row>
      <xdr:rowOff>114052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ACB05F55-3500-4681-95F5-62FFA7D0F550}"/>
            </a:ext>
          </a:extLst>
        </xdr:cNvPr>
        <xdr:cNvSpPr/>
      </xdr:nvSpPr>
      <xdr:spPr>
        <a:xfrm>
          <a:off x="17589591" y="6635070"/>
          <a:ext cx="457663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584009</xdr:colOff>
      <xdr:row>31</xdr:row>
      <xdr:rowOff>101335</xdr:rowOff>
    </xdr:from>
    <xdr:to>
      <xdr:col>26</xdr:col>
      <xdr:colOff>312826</xdr:colOff>
      <xdr:row>33</xdr:row>
      <xdr:rowOff>143806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D737B016-E82B-4539-A85F-9C2073103F94}"/>
            </a:ext>
          </a:extLst>
        </xdr:cNvPr>
        <xdr:cNvSpPr/>
      </xdr:nvSpPr>
      <xdr:spPr>
        <a:xfrm>
          <a:off x="17033684" y="6102085"/>
          <a:ext cx="452717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409665</xdr:colOff>
      <xdr:row>31</xdr:row>
      <xdr:rowOff>95495</xdr:rowOff>
    </xdr:from>
    <xdr:to>
      <xdr:col>27</xdr:col>
      <xdr:colOff>210103</xdr:colOff>
      <xdr:row>33</xdr:row>
      <xdr:rowOff>137966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699CBC82-000A-4CAE-AF65-85582854D37D}"/>
            </a:ext>
          </a:extLst>
        </xdr:cNvPr>
        <xdr:cNvSpPr/>
      </xdr:nvSpPr>
      <xdr:spPr>
        <a:xfrm>
          <a:off x="17583240" y="6096245"/>
          <a:ext cx="457663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577658</xdr:colOff>
      <xdr:row>28</xdr:row>
      <xdr:rowOff>163209</xdr:rowOff>
    </xdr:from>
    <xdr:to>
      <xdr:col>26</xdr:col>
      <xdr:colOff>306475</xdr:colOff>
      <xdr:row>31</xdr:row>
      <xdr:rowOff>15180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D526B072-6733-402E-B3D9-8347C587FF3C}"/>
            </a:ext>
          </a:extLst>
        </xdr:cNvPr>
        <xdr:cNvSpPr/>
      </xdr:nvSpPr>
      <xdr:spPr>
        <a:xfrm>
          <a:off x="17027333" y="5592459"/>
          <a:ext cx="452717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395377</xdr:colOff>
      <xdr:row>28</xdr:row>
      <xdr:rowOff>150064</xdr:rowOff>
    </xdr:from>
    <xdr:to>
      <xdr:col>27</xdr:col>
      <xdr:colOff>195815</xdr:colOff>
      <xdr:row>31</xdr:row>
      <xdr:rowOff>2035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790B73EF-7F2E-44E8-AF00-17D248AD4833}"/>
            </a:ext>
          </a:extLst>
        </xdr:cNvPr>
        <xdr:cNvSpPr/>
      </xdr:nvSpPr>
      <xdr:spPr>
        <a:xfrm>
          <a:off x="17568952" y="5579314"/>
          <a:ext cx="457663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382867</xdr:colOff>
      <xdr:row>31</xdr:row>
      <xdr:rowOff>123237</xdr:rowOff>
    </xdr:from>
    <xdr:to>
      <xdr:col>25</xdr:col>
      <xdr:colOff>245676</xdr:colOff>
      <xdr:row>31</xdr:row>
      <xdr:rowOff>123238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5BBEF6A4-E7BB-4B4D-A4DA-48BB042DD7AB}"/>
            </a:ext>
          </a:extLst>
        </xdr:cNvPr>
        <xdr:cNvCxnSpPr/>
      </xdr:nvCxnSpPr>
      <xdr:spPr>
        <a:xfrm flipV="1">
          <a:off x="16175317" y="6123987"/>
          <a:ext cx="520034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507193</xdr:colOff>
      <xdr:row>30</xdr:row>
      <xdr:rowOff>80094</xdr:rowOff>
    </xdr:from>
    <xdr:to>
      <xdr:col>24</xdr:col>
      <xdr:colOff>343177</xdr:colOff>
      <xdr:row>30</xdr:row>
      <xdr:rowOff>80095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3B1DB816-682E-40D5-91F5-45C9134955ED}"/>
            </a:ext>
          </a:extLst>
        </xdr:cNvPr>
        <xdr:cNvCxnSpPr/>
      </xdr:nvCxnSpPr>
      <xdr:spPr>
        <a:xfrm flipV="1">
          <a:off x="15642418" y="5890344"/>
          <a:ext cx="493209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384454</xdr:colOff>
      <xdr:row>30</xdr:row>
      <xdr:rowOff>81556</xdr:rowOff>
    </xdr:from>
    <xdr:to>
      <xdr:col>25</xdr:col>
      <xdr:colOff>247263</xdr:colOff>
      <xdr:row>30</xdr:row>
      <xdr:rowOff>81557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C60ED5CF-44DF-424A-938A-C3BCD7F52203}"/>
            </a:ext>
          </a:extLst>
        </xdr:cNvPr>
        <xdr:cNvCxnSpPr/>
      </xdr:nvCxnSpPr>
      <xdr:spPr>
        <a:xfrm flipV="1">
          <a:off x="16176904" y="5891806"/>
          <a:ext cx="520034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495173</xdr:colOff>
      <xdr:row>29</xdr:row>
      <xdr:rowOff>31114</xdr:rowOff>
    </xdr:from>
    <xdr:to>
      <xdr:col>24</xdr:col>
      <xdr:colOff>344764</xdr:colOff>
      <xdr:row>29</xdr:row>
      <xdr:rowOff>31115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9984D24F-8829-4E26-878C-3E562F86A7E6}"/>
            </a:ext>
          </a:extLst>
        </xdr:cNvPr>
        <xdr:cNvCxnSpPr/>
      </xdr:nvCxnSpPr>
      <xdr:spPr>
        <a:xfrm flipV="1">
          <a:off x="15630398" y="5650864"/>
          <a:ext cx="506816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386042</xdr:colOff>
      <xdr:row>29</xdr:row>
      <xdr:rowOff>32576</xdr:rowOff>
    </xdr:from>
    <xdr:to>
      <xdr:col>25</xdr:col>
      <xdr:colOff>248851</xdr:colOff>
      <xdr:row>29</xdr:row>
      <xdr:rowOff>32577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99E64711-1C5B-4A71-A6AD-1D41246D423C}"/>
            </a:ext>
          </a:extLst>
        </xdr:cNvPr>
        <xdr:cNvCxnSpPr/>
      </xdr:nvCxnSpPr>
      <xdr:spPr>
        <a:xfrm flipV="1">
          <a:off x="16178492" y="5652326"/>
          <a:ext cx="520034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88679</xdr:colOff>
      <xdr:row>45</xdr:row>
      <xdr:rowOff>9525</xdr:rowOff>
    </xdr:from>
    <xdr:to>
      <xdr:col>22</xdr:col>
      <xdr:colOff>558165</xdr:colOff>
      <xdr:row>50</xdr:row>
      <xdr:rowOff>166275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5EBCCA48-DF10-4C5F-ADA4-E234B27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909454" y="8696325"/>
          <a:ext cx="1126711" cy="1128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98533</xdr:colOff>
      <xdr:row>45</xdr:row>
      <xdr:rowOff>14968</xdr:rowOff>
    </xdr:from>
    <xdr:to>
      <xdr:col>20</xdr:col>
      <xdr:colOff>566348</xdr:colOff>
      <xdr:row>50</xdr:row>
      <xdr:rowOff>174042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C8FC63F6-52B4-4D5B-9795-00F152DC8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604858" y="8701768"/>
          <a:ext cx="1125040" cy="113062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111377</xdr:colOff>
      <xdr:row>0</xdr:row>
      <xdr:rowOff>13145</xdr:rowOff>
    </xdr:from>
    <xdr:to>
      <xdr:col>24</xdr:col>
      <xdr:colOff>566655</xdr:colOff>
      <xdr:row>12</xdr:row>
      <xdr:rowOff>167049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DB504D-FEB7-45EA-A3F1-CC6CD54C0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6602" y="13145"/>
          <a:ext cx="1112503" cy="2458954"/>
        </a:xfrm>
        <a:prstGeom prst="rect">
          <a:avLst/>
        </a:prstGeom>
      </xdr:spPr>
    </xdr:pic>
    <xdr:clientData/>
  </xdr:twoCellAnchor>
  <xdr:twoCellAnchor>
    <xdr:from>
      <xdr:col>24</xdr:col>
      <xdr:colOff>638665</xdr:colOff>
      <xdr:row>0</xdr:row>
      <xdr:rowOff>2</xdr:rowOff>
    </xdr:from>
    <xdr:to>
      <xdr:col>26</xdr:col>
      <xdr:colOff>395011</xdr:colOff>
      <xdr:row>12</xdr:row>
      <xdr:rowOff>148691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29BCC6-10DD-4AC7-BC52-1EF315194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31115" y="2"/>
          <a:ext cx="1137471" cy="2453739"/>
        </a:xfrm>
        <a:prstGeom prst="rect">
          <a:avLst/>
        </a:prstGeom>
      </xdr:spPr>
    </xdr:pic>
    <xdr:clientData/>
  </xdr:twoCellAnchor>
  <xdr:twoCellAnchor>
    <xdr:from>
      <xdr:col>26</xdr:col>
      <xdr:colOff>456773</xdr:colOff>
      <xdr:row>9</xdr:row>
      <xdr:rowOff>49548</xdr:rowOff>
    </xdr:from>
    <xdr:to>
      <xdr:col>27</xdr:col>
      <xdr:colOff>97558</xdr:colOff>
      <xdr:row>12</xdr:row>
      <xdr:rowOff>47746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97B6CA9-C180-45A4-BADD-B486369EA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0348" y="1773573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174476</xdr:colOff>
      <xdr:row>9</xdr:row>
      <xdr:rowOff>43706</xdr:rowOff>
    </xdr:from>
    <xdr:to>
      <xdr:col>27</xdr:col>
      <xdr:colOff>477167</xdr:colOff>
      <xdr:row>12</xdr:row>
      <xdr:rowOff>41904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1E2054E-8245-41A6-9D79-81F79C0E2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5276" y="1767731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168125</xdr:colOff>
      <xdr:row>6</xdr:row>
      <xdr:rowOff>63998</xdr:rowOff>
    </xdr:from>
    <xdr:to>
      <xdr:col>27</xdr:col>
      <xdr:colOff>470816</xdr:colOff>
      <xdr:row>9</xdr:row>
      <xdr:rowOff>62196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FD565F-FB78-4C89-AFDD-7873528DC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8925" y="1206998"/>
          <a:ext cx="302691" cy="579223"/>
        </a:xfrm>
        <a:prstGeom prst="rect">
          <a:avLst/>
        </a:prstGeom>
      </xdr:spPr>
    </xdr:pic>
    <xdr:clientData/>
  </xdr:twoCellAnchor>
  <xdr:twoCellAnchor>
    <xdr:from>
      <xdr:col>27</xdr:col>
      <xdr:colOff>161775</xdr:colOff>
      <xdr:row>3</xdr:row>
      <xdr:rowOff>28104</xdr:rowOff>
    </xdr:from>
    <xdr:to>
      <xdr:col>27</xdr:col>
      <xdr:colOff>464466</xdr:colOff>
      <xdr:row>6</xdr:row>
      <xdr:rowOff>16777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C8DD0D4-D89F-4814-AFDC-E8E691DEC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2575" y="580554"/>
          <a:ext cx="302691" cy="579223"/>
        </a:xfrm>
        <a:prstGeom prst="rect">
          <a:avLst/>
        </a:prstGeom>
      </xdr:spPr>
    </xdr:pic>
    <xdr:clientData/>
  </xdr:twoCellAnchor>
  <xdr:twoCellAnchor>
    <xdr:from>
      <xdr:col>26</xdr:col>
      <xdr:colOff>486935</xdr:colOff>
      <xdr:row>3</xdr:row>
      <xdr:rowOff>29563</xdr:rowOff>
    </xdr:from>
    <xdr:to>
      <xdr:col>27</xdr:col>
      <xdr:colOff>127720</xdr:colOff>
      <xdr:row>6</xdr:row>
      <xdr:rowOff>18236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3525E2D-2C77-4822-906F-115F469A6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510" y="582013"/>
          <a:ext cx="298010" cy="579223"/>
        </a:xfrm>
        <a:prstGeom prst="rect">
          <a:avLst/>
        </a:prstGeom>
      </xdr:spPr>
    </xdr:pic>
    <xdr:clientData/>
  </xdr:twoCellAnchor>
  <xdr:twoCellAnchor>
    <xdr:from>
      <xdr:col>26</xdr:col>
      <xdr:colOff>472648</xdr:colOff>
      <xdr:row>6</xdr:row>
      <xdr:rowOff>46475</xdr:rowOff>
    </xdr:from>
    <xdr:to>
      <xdr:col>27</xdr:col>
      <xdr:colOff>113433</xdr:colOff>
      <xdr:row>9</xdr:row>
      <xdr:rowOff>44673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48E95F2-05DE-4184-B7A0-E68649FBF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223" y="1189475"/>
          <a:ext cx="298010" cy="579223"/>
        </a:xfrm>
        <a:prstGeom prst="rect">
          <a:avLst/>
        </a:prstGeom>
      </xdr:spPr>
    </xdr:pic>
    <xdr:clientData/>
  </xdr:twoCellAnchor>
  <xdr:twoCellAnchor>
    <xdr:from>
      <xdr:col>27</xdr:col>
      <xdr:colOff>527198</xdr:colOff>
      <xdr:row>10</xdr:row>
      <xdr:rowOff>60581</xdr:rowOff>
    </xdr:from>
    <xdr:to>
      <xdr:col>28</xdr:col>
      <xdr:colOff>244344</xdr:colOff>
      <xdr:row>11</xdr:row>
      <xdr:rowOff>106620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E05A141-193F-436C-ABCA-7F9302619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8" y="1975106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528786</xdr:colOff>
      <xdr:row>3</xdr:row>
      <xdr:rowOff>175607</xdr:rowOff>
    </xdr:from>
    <xdr:to>
      <xdr:col>28</xdr:col>
      <xdr:colOff>245932</xdr:colOff>
      <xdr:row>5</xdr:row>
      <xdr:rowOff>21621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9AFC247-5227-4591-9331-0B6E524A0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9586" y="728057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530373</xdr:colOff>
      <xdr:row>5</xdr:row>
      <xdr:rowOff>34784</xdr:rowOff>
    </xdr:from>
    <xdr:to>
      <xdr:col>28</xdr:col>
      <xdr:colOff>247519</xdr:colOff>
      <xdr:row>6</xdr:row>
      <xdr:rowOff>71298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4EBF076F-C555-464F-A3F6-BDF3D43F0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61173" y="977759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524024</xdr:colOff>
      <xdr:row>7</xdr:row>
      <xdr:rowOff>132677</xdr:rowOff>
    </xdr:from>
    <xdr:to>
      <xdr:col>28</xdr:col>
      <xdr:colOff>241170</xdr:colOff>
      <xdr:row>8</xdr:row>
      <xdr:rowOff>178716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B8F439C-F2D0-4DB0-B2D5-28E52EA7D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4824" y="1475702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525612</xdr:colOff>
      <xdr:row>6</xdr:row>
      <xdr:rowOff>85920</xdr:rowOff>
    </xdr:from>
    <xdr:to>
      <xdr:col>28</xdr:col>
      <xdr:colOff>242758</xdr:colOff>
      <xdr:row>7</xdr:row>
      <xdr:rowOff>122434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4CA28C6-6C07-4BC8-B610-882C9E09F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6412" y="1228920"/>
          <a:ext cx="374371" cy="236539"/>
        </a:xfrm>
        <a:prstGeom prst="rect">
          <a:avLst/>
        </a:prstGeom>
      </xdr:spPr>
    </xdr:pic>
    <xdr:clientData/>
  </xdr:twoCellAnchor>
  <xdr:twoCellAnchor>
    <xdr:from>
      <xdr:col>27</xdr:col>
      <xdr:colOff>527199</xdr:colOff>
      <xdr:row>9</xdr:row>
      <xdr:rowOff>2839</xdr:rowOff>
    </xdr:from>
    <xdr:to>
      <xdr:col>28</xdr:col>
      <xdr:colOff>244345</xdr:colOff>
      <xdr:row>10</xdr:row>
      <xdr:rowOff>48878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15065C1-8566-4075-A2C2-647D569C5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357999" y="1726864"/>
          <a:ext cx="374371" cy="236539"/>
        </a:xfrm>
        <a:prstGeom prst="rect">
          <a:avLst/>
        </a:prstGeom>
      </xdr:spPr>
    </xdr:pic>
    <xdr:clientData/>
  </xdr:twoCellAnchor>
  <xdr:twoCellAnchor>
    <xdr:from>
      <xdr:col>28</xdr:col>
      <xdr:colOff>474537</xdr:colOff>
      <xdr:row>0</xdr:row>
      <xdr:rowOff>27746</xdr:rowOff>
    </xdr:from>
    <xdr:to>
      <xdr:col>30</xdr:col>
      <xdr:colOff>413338</xdr:colOff>
      <xdr:row>5</xdr:row>
      <xdr:rowOff>108165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CEBF20F-883C-46EC-8A27-FFC78C766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62562" y="27746"/>
          <a:ext cx="1253251" cy="1023394"/>
        </a:xfrm>
        <a:prstGeom prst="rect">
          <a:avLst/>
        </a:prstGeom>
      </xdr:spPr>
    </xdr:pic>
    <xdr:clientData/>
  </xdr:twoCellAnchor>
  <xdr:twoCellAnchor>
    <xdr:from>
      <xdr:col>30</xdr:col>
      <xdr:colOff>478427</xdr:colOff>
      <xdr:row>0</xdr:row>
      <xdr:rowOff>29207</xdr:rowOff>
    </xdr:from>
    <xdr:to>
      <xdr:col>32</xdr:col>
      <xdr:colOff>422896</xdr:colOff>
      <xdr:row>5</xdr:row>
      <xdr:rowOff>109626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D5C5B7A-22A0-443C-9366-A42284CFC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280902" y="29207"/>
          <a:ext cx="1258919" cy="1023394"/>
        </a:xfrm>
        <a:prstGeom prst="rect">
          <a:avLst/>
        </a:prstGeom>
      </xdr:spPr>
    </xdr:pic>
    <xdr:clientData/>
  </xdr:twoCellAnchor>
  <xdr:twoCellAnchor>
    <xdr:from>
      <xdr:col>28</xdr:col>
      <xdr:colOff>450723</xdr:colOff>
      <xdr:row>7</xdr:row>
      <xdr:rowOff>72787</xdr:rowOff>
    </xdr:from>
    <xdr:to>
      <xdr:col>29</xdr:col>
      <xdr:colOff>176244</xdr:colOff>
      <xdr:row>9</xdr:row>
      <xdr:rowOff>151178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B47D6DD-85F1-43BA-8917-420BCED0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8748" y="1415812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209249</xdr:colOff>
      <xdr:row>7</xdr:row>
      <xdr:rowOff>81549</xdr:rowOff>
    </xdr:from>
    <xdr:to>
      <xdr:col>29</xdr:col>
      <xdr:colOff>591480</xdr:colOff>
      <xdr:row>9</xdr:row>
      <xdr:rowOff>159940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57A7CF-E26F-400D-837A-FF428920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54499" y="1424574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632420</xdr:colOff>
      <xdr:row>7</xdr:row>
      <xdr:rowOff>75708</xdr:rowOff>
    </xdr:from>
    <xdr:to>
      <xdr:col>30</xdr:col>
      <xdr:colOff>369220</xdr:colOff>
      <xdr:row>9</xdr:row>
      <xdr:rowOff>154099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31DA10D-BB58-4664-87D1-2FC05859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7670" y="1418733"/>
          <a:ext cx="394025" cy="459391"/>
        </a:xfrm>
        <a:prstGeom prst="rect">
          <a:avLst/>
        </a:prstGeom>
      </xdr:spPr>
    </xdr:pic>
    <xdr:clientData/>
  </xdr:twoCellAnchor>
  <xdr:twoCellAnchor>
    <xdr:from>
      <xdr:col>28</xdr:col>
      <xdr:colOff>444373</xdr:colOff>
      <xdr:row>9</xdr:row>
      <xdr:rowOff>189731</xdr:rowOff>
    </xdr:from>
    <xdr:to>
      <xdr:col>29</xdr:col>
      <xdr:colOff>169894</xdr:colOff>
      <xdr:row>12</xdr:row>
      <xdr:rowOff>68097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77AA65A-8039-4FA1-81F4-9BC1F1576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932398" y="1913756"/>
          <a:ext cx="382746" cy="459391"/>
        </a:xfrm>
        <a:prstGeom prst="rect">
          <a:avLst/>
        </a:prstGeom>
      </xdr:spPr>
    </xdr:pic>
    <xdr:clientData/>
  </xdr:twoCellAnchor>
  <xdr:twoCellAnchor>
    <xdr:from>
      <xdr:col>29</xdr:col>
      <xdr:colOff>202899</xdr:colOff>
      <xdr:row>10</xdr:row>
      <xdr:rowOff>7992</xdr:rowOff>
    </xdr:from>
    <xdr:to>
      <xdr:col>29</xdr:col>
      <xdr:colOff>585130</xdr:colOff>
      <xdr:row>12</xdr:row>
      <xdr:rowOff>76858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7F46D31-A728-498D-B920-D3A30650B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348149" y="1922517"/>
          <a:ext cx="382231" cy="459391"/>
        </a:xfrm>
        <a:prstGeom prst="rect">
          <a:avLst/>
        </a:prstGeom>
      </xdr:spPr>
    </xdr:pic>
    <xdr:clientData/>
  </xdr:twoCellAnchor>
  <xdr:twoCellAnchor>
    <xdr:from>
      <xdr:col>29</xdr:col>
      <xdr:colOff>626070</xdr:colOff>
      <xdr:row>10</xdr:row>
      <xdr:rowOff>2152</xdr:rowOff>
    </xdr:from>
    <xdr:to>
      <xdr:col>30</xdr:col>
      <xdr:colOff>362870</xdr:colOff>
      <xdr:row>12</xdr:row>
      <xdr:rowOff>71018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48532656-2593-4B00-B746-F19F891C2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771320" y="1916677"/>
          <a:ext cx="394025" cy="459391"/>
        </a:xfrm>
        <a:prstGeom prst="rect">
          <a:avLst/>
        </a:prstGeom>
      </xdr:spPr>
    </xdr:pic>
    <xdr:clientData/>
  </xdr:twoCellAnchor>
  <xdr:twoCellAnchor>
    <xdr:from>
      <xdr:col>31</xdr:col>
      <xdr:colOff>80696</xdr:colOff>
      <xdr:row>7</xdr:row>
      <xdr:rowOff>69795</xdr:rowOff>
    </xdr:from>
    <xdr:to>
      <xdr:col>33</xdr:col>
      <xdr:colOff>122687</xdr:colOff>
      <xdr:row>8</xdr:row>
      <xdr:rowOff>79421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D5A3974-D08B-4A1C-90B3-D5EA5E3C0C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0396" y="1412820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74346</xdr:colOff>
      <xdr:row>8</xdr:row>
      <xdr:rowOff>107093</xdr:rowOff>
    </xdr:from>
    <xdr:to>
      <xdr:col>33</xdr:col>
      <xdr:colOff>116337</xdr:colOff>
      <xdr:row>9</xdr:row>
      <xdr:rowOff>116719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43D2653-C6CC-4742-B1C0-3A61CEF897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4046" y="1640618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83871</xdr:colOff>
      <xdr:row>9</xdr:row>
      <xdr:rowOff>137090</xdr:rowOff>
    </xdr:from>
    <xdr:to>
      <xdr:col>33</xdr:col>
      <xdr:colOff>125862</xdr:colOff>
      <xdr:row>10</xdr:row>
      <xdr:rowOff>146716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B7F0DC98-0317-4FA6-8071-C1F25D7D5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43571" y="1861115"/>
          <a:ext cx="1356441" cy="200126"/>
        </a:xfrm>
        <a:prstGeom prst="rect">
          <a:avLst/>
        </a:prstGeom>
      </xdr:spPr>
    </xdr:pic>
    <xdr:clientData/>
  </xdr:twoCellAnchor>
  <xdr:twoCellAnchor>
    <xdr:from>
      <xdr:col>31</xdr:col>
      <xdr:colOff>77521</xdr:colOff>
      <xdr:row>10</xdr:row>
      <xdr:rowOff>167088</xdr:rowOff>
    </xdr:from>
    <xdr:to>
      <xdr:col>33</xdr:col>
      <xdr:colOff>119512</xdr:colOff>
      <xdr:row>11</xdr:row>
      <xdr:rowOff>176714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8280AB6-C6F3-4F16-8839-C928AF860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" t="2500" r="680" b="2055"/>
        <a:stretch/>
      </xdr:blipFill>
      <xdr:spPr>
        <a:xfrm>
          <a:off x="20537221" y="2081613"/>
          <a:ext cx="1356441" cy="200126"/>
        </a:xfrm>
        <a:prstGeom prst="rect">
          <a:avLst/>
        </a:prstGeom>
      </xdr:spPr>
    </xdr:pic>
    <xdr:clientData/>
  </xdr:twoCellAnchor>
  <xdr:twoCellAnchor>
    <xdr:from>
      <xdr:col>29</xdr:col>
      <xdr:colOff>136222</xdr:colOff>
      <xdr:row>13</xdr:row>
      <xdr:rowOff>181728</xdr:rowOff>
    </xdr:from>
    <xdr:to>
      <xdr:col>32</xdr:col>
      <xdr:colOff>514975</xdr:colOff>
      <xdr:row>21</xdr:row>
      <xdr:rowOff>95692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725FA2CE-6674-4FE9-84F8-99A657AE5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281472" y="2686803"/>
          <a:ext cx="2350428" cy="1476064"/>
        </a:xfrm>
        <a:prstGeom prst="rect">
          <a:avLst/>
        </a:prstGeom>
      </xdr:spPr>
    </xdr:pic>
    <xdr:clientData/>
  </xdr:twoCellAnchor>
  <xdr:twoCellAnchor>
    <xdr:from>
      <xdr:col>27</xdr:col>
      <xdr:colOff>7356</xdr:colOff>
      <xdr:row>13</xdr:row>
      <xdr:rowOff>7500</xdr:rowOff>
    </xdr:from>
    <xdr:to>
      <xdr:col>29</xdr:col>
      <xdr:colOff>154391</xdr:colOff>
      <xdr:row>28</xdr:row>
      <xdr:rowOff>23540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A29E2EAA-7F3C-4D32-AFB7-4EFBA5D1E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838156" y="2512575"/>
          <a:ext cx="1461485" cy="2940215"/>
        </a:xfrm>
        <a:prstGeom prst="rect">
          <a:avLst/>
        </a:prstGeom>
      </xdr:spPr>
    </xdr:pic>
    <xdr:clientData/>
  </xdr:twoCellAnchor>
  <xdr:twoCellAnchor>
    <xdr:from>
      <xdr:col>23</xdr:col>
      <xdr:colOff>121606</xdr:colOff>
      <xdr:row>13</xdr:row>
      <xdr:rowOff>47154</xdr:rowOff>
    </xdr:from>
    <xdr:to>
      <xdr:col>27</xdr:col>
      <xdr:colOff>37960</xdr:colOff>
      <xdr:row>28</xdr:row>
      <xdr:rowOff>16188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A6578029-6826-4885-94AD-216CA7F6C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256831" y="2552229"/>
          <a:ext cx="2611929" cy="2893209"/>
        </a:xfrm>
        <a:prstGeom prst="rect">
          <a:avLst/>
        </a:prstGeom>
      </xdr:spPr>
    </xdr:pic>
    <xdr:clientData/>
  </xdr:twoCellAnchor>
  <xdr:twoCellAnchor>
    <xdr:from>
      <xdr:col>23</xdr:col>
      <xdr:colOff>177171</xdr:colOff>
      <xdr:row>32</xdr:row>
      <xdr:rowOff>84602</xdr:rowOff>
    </xdr:from>
    <xdr:to>
      <xdr:col>25</xdr:col>
      <xdr:colOff>474283</xdr:colOff>
      <xdr:row>36</xdr:row>
      <xdr:rowOff>134498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A839A9C1-D961-47F7-9E10-B387A2D13C0B}"/>
            </a:ext>
          </a:extLst>
        </xdr:cNvPr>
        <xdr:cNvSpPr/>
      </xdr:nvSpPr>
      <xdr:spPr>
        <a:xfrm>
          <a:off x="15312396" y="6275852"/>
          <a:ext cx="1611562" cy="811896"/>
        </a:xfrm>
        <a:prstGeom prst="roundRect">
          <a:avLst/>
        </a:prstGeom>
        <a:solidFill>
          <a:srgbClr val="FF0000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Note Box</a:t>
          </a:r>
        </a:p>
      </xdr:txBody>
    </xdr:sp>
    <xdr:clientData/>
  </xdr:twoCellAnchor>
  <xdr:twoCellAnchor>
    <xdr:from>
      <xdr:col>23</xdr:col>
      <xdr:colOff>505606</xdr:colOff>
      <xdr:row>31</xdr:row>
      <xdr:rowOff>121777</xdr:rowOff>
    </xdr:from>
    <xdr:to>
      <xdr:col>24</xdr:col>
      <xdr:colOff>341590</xdr:colOff>
      <xdr:row>31</xdr:row>
      <xdr:rowOff>121778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A207B7D8-1A78-4B8D-83FA-A6052FB94EA4}"/>
            </a:ext>
          </a:extLst>
        </xdr:cNvPr>
        <xdr:cNvCxnSpPr/>
      </xdr:nvCxnSpPr>
      <xdr:spPr>
        <a:xfrm flipV="1">
          <a:off x="15640831" y="6122527"/>
          <a:ext cx="493209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590358</xdr:colOff>
      <xdr:row>34</xdr:row>
      <xdr:rowOff>46761</xdr:rowOff>
    </xdr:from>
    <xdr:to>
      <xdr:col>26</xdr:col>
      <xdr:colOff>319175</xdr:colOff>
      <xdr:row>36</xdr:row>
      <xdr:rowOff>97993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FD9153AF-56BB-4602-8DCE-A6C71496D9ED}"/>
            </a:ext>
          </a:extLst>
        </xdr:cNvPr>
        <xdr:cNvSpPr/>
      </xdr:nvSpPr>
      <xdr:spPr>
        <a:xfrm>
          <a:off x="17040033" y="6619011"/>
          <a:ext cx="452717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416016</xdr:colOff>
      <xdr:row>34</xdr:row>
      <xdr:rowOff>62820</xdr:rowOff>
    </xdr:from>
    <xdr:to>
      <xdr:col>27</xdr:col>
      <xdr:colOff>216454</xdr:colOff>
      <xdr:row>36</xdr:row>
      <xdr:rowOff>114052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737EC795-CD66-4213-B3C0-90DC50E87FB1}"/>
            </a:ext>
          </a:extLst>
        </xdr:cNvPr>
        <xdr:cNvSpPr/>
      </xdr:nvSpPr>
      <xdr:spPr>
        <a:xfrm>
          <a:off x="17589591" y="6635070"/>
          <a:ext cx="457663" cy="432232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584009</xdr:colOff>
      <xdr:row>31</xdr:row>
      <xdr:rowOff>101335</xdr:rowOff>
    </xdr:from>
    <xdr:to>
      <xdr:col>26</xdr:col>
      <xdr:colOff>312826</xdr:colOff>
      <xdr:row>33</xdr:row>
      <xdr:rowOff>143806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F08178CE-C1C7-44E3-AC8B-3B3D388720B7}"/>
            </a:ext>
          </a:extLst>
        </xdr:cNvPr>
        <xdr:cNvSpPr/>
      </xdr:nvSpPr>
      <xdr:spPr>
        <a:xfrm>
          <a:off x="17033684" y="6102085"/>
          <a:ext cx="452717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409665</xdr:colOff>
      <xdr:row>31</xdr:row>
      <xdr:rowOff>95495</xdr:rowOff>
    </xdr:from>
    <xdr:to>
      <xdr:col>27</xdr:col>
      <xdr:colOff>210103</xdr:colOff>
      <xdr:row>33</xdr:row>
      <xdr:rowOff>137966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4B8ED6C3-BF13-4C67-A01B-89578BCB1CED}"/>
            </a:ext>
          </a:extLst>
        </xdr:cNvPr>
        <xdr:cNvSpPr/>
      </xdr:nvSpPr>
      <xdr:spPr>
        <a:xfrm>
          <a:off x="17583240" y="6096245"/>
          <a:ext cx="457663" cy="423471"/>
        </a:xfrm>
        <a:prstGeom prst="ellipse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577658</xdr:colOff>
      <xdr:row>28</xdr:row>
      <xdr:rowOff>163209</xdr:rowOff>
    </xdr:from>
    <xdr:to>
      <xdr:col>26</xdr:col>
      <xdr:colOff>306475</xdr:colOff>
      <xdr:row>31</xdr:row>
      <xdr:rowOff>15180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D26D5D0B-CED2-429B-915F-CBED6C1CB574}"/>
            </a:ext>
          </a:extLst>
        </xdr:cNvPr>
        <xdr:cNvSpPr/>
      </xdr:nvSpPr>
      <xdr:spPr>
        <a:xfrm>
          <a:off x="17027333" y="5592459"/>
          <a:ext cx="452717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395377</xdr:colOff>
      <xdr:row>28</xdr:row>
      <xdr:rowOff>150064</xdr:rowOff>
    </xdr:from>
    <xdr:to>
      <xdr:col>27</xdr:col>
      <xdr:colOff>195815</xdr:colOff>
      <xdr:row>31</xdr:row>
      <xdr:rowOff>2035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D07BE5C8-F0E8-4166-8327-C3692AD79F54}"/>
            </a:ext>
          </a:extLst>
        </xdr:cNvPr>
        <xdr:cNvSpPr/>
      </xdr:nvSpPr>
      <xdr:spPr>
        <a:xfrm>
          <a:off x="17568952" y="5579314"/>
          <a:ext cx="457663" cy="423471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382867</xdr:colOff>
      <xdr:row>31</xdr:row>
      <xdr:rowOff>123237</xdr:rowOff>
    </xdr:from>
    <xdr:to>
      <xdr:col>25</xdr:col>
      <xdr:colOff>245676</xdr:colOff>
      <xdr:row>31</xdr:row>
      <xdr:rowOff>123238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9F200AF2-C555-4B14-AB36-DF98D8A27FAE}"/>
            </a:ext>
          </a:extLst>
        </xdr:cNvPr>
        <xdr:cNvCxnSpPr/>
      </xdr:nvCxnSpPr>
      <xdr:spPr>
        <a:xfrm flipV="1">
          <a:off x="16175317" y="6123987"/>
          <a:ext cx="520034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507193</xdr:colOff>
      <xdr:row>30</xdr:row>
      <xdr:rowOff>80094</xdr:rowOff>
    </xdr:from>
    <xdr:to>
      <xdr:col>24</xdr:col>
      <xdr:colOff>343177</xdr:colOff>
      <xdr:row>30</xdr:row>
      <xdr:rowOff>80095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4D091B1A-26D0-4600-A706-AF1AFC9803AB}"/>
            </a:ext>
          </a:extLst>
        </xdr:cNvPr>
        <xdr:cNvCxnSpPr/>
      </xdr:nvCxnSpPr>
      <xdr:spPr>
        <a:xfrm flipV="1">
          <a:off x="15642418" y="5890344"/>
          <a:ext cx="493209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384454</xdr:colOff>
      <xdr:row>30</xdr:row>
      <xdr:rowOff>81556</xdr:rowOff>
    </xdr:from>
    <xdr:to>
      <xdr:col>25</xdr:col>
      <xdr:colOff>247263</xdr:colOff>
      <xdr:row>30</xdr:row>
      <xdr:rowOff>81557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B2F0D72A-98C3-4788-B58E-FBE4A2CDC825}"/>
            </a:ext>
          </a:extLst>
        </xdr:cNvPr>
        <xdr:cNvCxnSpPr/>
      </xdr:nvCxnSpPr>
      <xdr:spPr>
        <a:xfrm flipV="1">
          <a:off x="16176904" y="5891806"/>
          <a:ext cx="520034" cy="1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495173</xdr:colOff>
      <xdr:row>29</xdr:row>
      <xdr:rowOff>31114</xdr:rowOff>
    </xdr:from>
    <xdr:to>
      <xdr:col>24</xdr:col>
      <xdr:colOff>344764</xdr:colOff>
      <xdr:row>29</xdr:row>
      <xdr:rowOff>31115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466BFC59-5AFA-43EC-8F23-A08593AA855E}"/>
            </a:ext>
          </a:extLst>
        </xdr:cNvPr>
        <xdr:cNvCxnSpPr/>
      </xdr:nvCxnSpPr>
      <xdr:spPr>
        <a:xfrm flipV="1">
          <a:off x="15630398" y="5650864"/>
          <a:ext cx="506816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386042</xdr:colOff>
      <xdr:row>29</xdr:row>
      <xdr:rowOff>32576</xdr:rowOff>
    </xdr:from>
    <xdr:to>
      <xdr:col>25</xdr:col>
      <xdr:colOff>248851</xdr:colOff>
      <xdr:row>29</xdr:row>
      <xdr:rowOff>32577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9331D8CF-8713-4306-9755-413EA7D7FC0D}"/>
            </a:ext>
          </a:extLst>
        </xdr:cNvPr>
        <xdr:cNvCxnSpPr/>
      </xdr:nvCxnSpPr>
      <xdr:spPr>
        <a:xfrm flipV="1">
          <a:off x="16178492" y="5652326"/>
          <a:ext cx="520034" cy="1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C00000"/>
  </sheetPr>
  <dimension ref="A1:W52"/>
  <sheetViews>
    <sheetView view="pageLayout" zoomScaleNormal="100" workbookViewId="0">
      <selection activeCell="U44" sqref="U44:W49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23" x14ac:dyDescent="0.25">
      <c r="A1" s="54" t="s">
        <v>191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6"/>
    </row>
    <row r="2" spans="1:23" x14ac:dyDescent="0.25">
      <c r="A2" s="57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9"/>
    </row>
    <row r="3" spans="1:23" x14ac:dyDescent="0.25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9"/>
    </row>
    <row r="4" spans="1:23" ht="15.75" thickBot="1" x14ac:dyDescent="0.3">
      <c r="A4" s="57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9"/>
    </row>
    <row r="5" spans="1:23" x14ac:dyDescent="0.25">
      <c r="A5" s="90" t="s">
        <v>0</v>
      </c>
      <c r="B5" s="83"/>
      <c r="C5" s="83"/>
      <c r="D5" s="83" t="s">
        <v>1</v>
      </c>
      <c r="E5" s="83"/>
      <c r="F5" s="83"/>
      <c r="G5" s="83" t="s">
        <v>2</v>
      </c>
      <c r="H5" s="83"/>
      <c r="I5" s="83"/>
      <c r="J5" s="83" t="s">
        <v>3</v>
      </c>
      <c r="K5" s="83"/>
      <c r="L5" s="83"/>
      <c r="M5" s="83" t="s">
        <v>4</v>
      </c>
      <c r="N5" s="83"/>
      <c r="O5" s="83"/>
      <c r="P5" s="83" t="s">
        <v>5</v>
      </c>
      <c r="Q5" s="83"/>
      <c r="R5" s="83"/>
      <c r="S5" s="83" t="s">
        <v>6</v>
      </c>
      <c r="T5" s="83"/>
      <c r="U5" s="83"/>
      <c r="V5" s="83" t="s">
        <v>7</v>
      </c>
      <c r="W5" s="84"/>
    </row>
    <row r="6" spans="1:23" ht="15.75" thickBot="1" x14ac:dyDescent="0.3">
      <c r="A6" s="89" t="s">
        <v>192</v>
      </c>
      <c r="B6" s="63"/>
      <c r="C6" s="63"/>
      <c r="D6" s="63" t="s">
        <v>203</v>
      </c>
      <c r="E6" s="63"/>
      <c r="F6" s="63"/>
      <c r="G6" s="63" t="s">
        <v>141</v>
      </c>
      <c r="H6" s="63"/>
      <c r="I6" s="63"/>
      <c r="J6" s="63" t="s">
        <v>8</v>
      </c>
      <c r="K6" s="63"/>
      <c r="L6" s="63"/>
      <c r="M6" s="63" t="s">
        <v>204</v>
      </c>
      <c r="N6" s="63"/>
      <c r="O6" s="63"/>
      <c r="P6" s="88">
        <v>46044</v>
      </c>
      <c r="Q6" s="88"/>
      <c r="R6" s="88"/>
      <c r="S6" s="63" t="str">
        <f>"Rev."&amp;" "&amp;MAX('Revision Log'!V4:W52)</f>
        <v>Rev. 0</v>
      </c>
      <c r="T6" s="63"/>
      <c r="U6" s="63"/>
      <c r="V6" s="63" t="s">
        <v>250</v>
      </c>
      <c r="W6" s="64"/>
    </row>
    <row r="7" spans="1:23" x14ac:dyDescent="0.25">
      <c r="A7" s="65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7"/>
    </row>
    <row r="8" spans="1:23" x14ac:dyDescent="0.25">
      <c r="A8" s="65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7"/>
    </row>
    <row r="9" spans="1:23" x14ac:dyDescent="0.25">
      <c r="A9" s="65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7"/>
    </row>
    <row r="10" spans="1:23" x14ac:dyDescent="0.25">
      <c r="A10" s="65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7"/>
    </row>
    <row r="11" spans="1:23" x14ac:dyDescent="0.25">
      <c r="A11" s="65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7"/>
    </row>
    <row r="12" spans="1:23" x14ac:dyDescent="0.25">
      <c r="A12" s="65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7"/>
    </row>
    <row r="13" spans="1:23" x14ac:dyDescent="0.25">
      <c r="A13" s="65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7"/>
    </row>
    <row r="14" spans="1:23" x14ac:dyDescent="0.25">
      <c r="A14" s="65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7"/>
    </row>
    <row r="15" spans="1:23" x14ac:dyDescent="0.25">
      <c r="A15" s="65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7"/>
    </row>
    <row r="16" spans="1:23" x14ac:dyDescent="0.25">
      <c r="A16" s="65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7"/>
    </row>
    <row r="17" spans="1:23" x14ac:dyDescent="0.25">
      <c r="A17" s="65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7"/>
    </row>
    <row r="18" spans="1:23" x14ac:dyDescent="0.25">
      <c r="A18" s="65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7"/>
    </row>
    <row r="19" spans="1:23" x14ac:dyDescent="0.25">
      <c r="A19" s="65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7"/>
    </row>
    <row r="20" spans="1:23" x14ac:dyDescent="0.25">
      <c r="A20" s="65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7"/>
    </row>
    <row r="21" spans="1:23" x14ac:dyDescent="0.25">
      <c r="A21" s="65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7"/>
    </row>
    <row r="22" spans="1:23" x14ac:dyDescent="0.25">
      <c r="A22" s="65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7"/>
    </row>
    <row r="23" spans="1:23" x14ac:dyDescent="0.25">
      <c r="A23" s="65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7"/>
    </row>
    <row r="24" spans="1:23" x14ac:dyDescent="0.25">
      <c r="A24" s="65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7"/>
    </row>
    <row r="25" spans="1:23" x14ac:dyDescent="0.25">
      <c r="A25" s="65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7"/>
    </row>
    <row r="26" spans="1:23" x14ac:dyDescent="0.25">
      <c r="A26" s="65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7"/>
    </row>
    <row r="27" spans="1:23" x14ac:dyDescent="0.25">
      <c r="A27" s="65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7"/>
    </row>
    <row r="28" spans="1:23" x14ac:dyDescent="0.25">
      <c r="A28" s="65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7"/>
    </row>
    <row r="29" spans="1:23" x14ac:dyDescent="0.25">
      <c r="A29" s="65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7"/>
    </row>
    <row r="30" spans="1:23" x14ac:dyDescent="0.25">
      <c r="A30" s="65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7"/>
    </row>
    <row r="31" spans="1:23" x14ac:dyDescent="0.25">
      <c r="A31" s="65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7"/>
    </row>
    <row r="32" spans="1:23" x14ac:dyDescent="0.25">
      <c r="A32" s="65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7"/>
    </row>
    <row r="33" spans="1:23" x14ac:dyDescent="0.25">
      <c r="A33" s="65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7"/>
    </row>
    <row r="34" spans="1:23" x14ac:dyDescent="0.25">
      <c r="A34" s="65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7"/>
    </row>
    <row r="35" spans="1:23" x14ac:dyDescent="0.25">
      <c r="A35" s="65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7"/>
    </row>
    <row r="36" spans="1:23" x14ac:dyDescent="0.25">
      <c r="A36" s="65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7"/>
    </row>
    <row r="37" spans="1:23" x14ac:dyDescent="0.25">
      <c r="A37" s="65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7"/>
    </row>
    <row r="38" spans="1:23" x14ac:dyDescent="0.25">
      <c r="A38" s="65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7"/>
    </row>
    <row r="39" spans="1:23" x14ac:dyDescent="0.25">
      <c r="A39" s="65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7"/>
    </row>
    <row r="40" spans="1:23" x14ac:dyDescent="0.25">
      <c r="A40" s="65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7"/>
    </row>
    <row r="41" spans="1:23" x14ac:dyDescent="0.25">
      <c r="A41" s="65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7"/>
    </row>
    <row r="42" spans="1:23" ht="15.75" thickBot="1" x14ac:dyDescent="0.3">
      <c r="A42" s="65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7"/>
    </row>
    <row r="43" spans="1:23" x14ac:dyDescent="0.25">
      <c r="A43" s="77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9"/>
      <c r="U43" s="85" t="s">
        <v>9</v>
      </c>
      <c r="V43" s="86"/>
      <c r="W43" s="87"/>
    </row>
    <row r="44" spans="1:23" x14ac:dyDescent="0.25">
      <c r="A44" s="77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9"/>
      <c r="U44" s="68">
        <v>1</v>
      </c>
      <c r="V44" s="69"/>
      <c r="W44" s="70"/>
    </row>
    <row r="45" spans="1:23" x14ac:dyDescent="0.25">
      <c r="A45" s="77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9"/>
      <c r="U45" s="68"/>
      <c r="V45" s="69"/>
      <c r="W45" s="70"/>
    </row>
    <row r="46" spans="1:23" x14ac:dyDescent="0.25">
      <c r="A46" s="77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9"/>
      <c r="U46" s="68"/>
      <c r="V46" s="69"/>
      <c r="W46" s="70"/>
    </row>
    <row r="47" spans="1:23" x14ac:dyDescent="0.25">
      <c r="A47" s="77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9"/>
      <c r="U47" s="68"/>
      <c r="V47" s="69"/>
      <c r="W47" s="70"/>
    </row>
    <row r="48" spans="1:23" x14ac:dyDescent="0.25">
      <c r="A48" s="77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9"/>
      <c r="U48" s="68"/>
      <c r="V48" s="69"/>
      <c r="W48" s="70"/>
    </row>
    <row r="49" spans="1:23" x14ac:dyDescent="0.25">
      <c r="A49" s="77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9"/>
      <c r="U49" s="68"/>
      <c r="V49" s="69"/>
      <c r="W49" s="70"/>
    </row>
    <row r="50" spans="1:23" x14ac:dyDescent="0.25">
      <c r="A50" s="77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9"/>
      <c r="U50" s="71" t="str">
        <f>IF(U44=1,"Unproven",(IF(U44=2,"Improving",IF(U44=3,"Proven"," "))))</f>
        <v>Unproven</v>
      </c>
      <c r="V50" s="72"/>
      <c r="W50" s="73"/>
    </row>
    <row r="51" spans="1:23" ht="15.75" thickBot="1" x14ac:dyDescent="0.3">
      <c r="A51" s="80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2"/>
      <c r="U51" s="74"/>
      <c r="V51" s="75"/>
      <c r="W51" s="76"/>
    </row>
    <row r="52" spans="1:23" x14ac:dyDescent="0.25">
      <c r="A52" s="60" t="s">
        <v>190</v>
      </c>
      <c r="B52" s="60"/>
      <c r="C52" s="60"/>
      <c r="D52" s="61" t="str">
        <f ca="1">MID(CELL("filename",A1),FIND("[",CELL("filename",A1))+1,FIND(".xlsm",CELL("filename",A1))-FIND("[",CELL("filename",A1))-1)</f>
        <v>import_test</v>
      </c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2"/>
      <c r="V52" s="62"/>
      <c r="W52" s="62"/>
    </row>
  </sheetData>
  <sheetProtection selectLockedCells="1"/>
  <protectedRanges>
    <protectedRange algorithmName="SHA-512" hashValue="Bc2eNcl6w9AEELgqWZt4+K97vl8LeETMv6io96GGCicgoC10iYvjvwm27iZK9caLgYCmY/5rym4DOUNytz82vA==" saltValue="hk+X5U/JOY0ZKsqvp+zdrw==" spinCount="100000" sqref="A7:W42" name="Range1"/>
    <protectedRange algorithmName="SHA-512" hashValue="oW3N3TCVWS9jYHQjoRDwm6PB/tyudQEd4JKKY9tD942F5I+h0xZHlsFBICEyHoOTP9b/2ytBWU+b3bO/pSu70w==" saltValue="AmimajTor5jDAMGaqP6YLQ==" spinCount="100000" sqref="A43" name="Range2"/>
  </protectedRanges>
  <mergeCells count="25">
    <mergeCell ref="M5:O5"/>
    <mergeCell ref="J5:L5"/>
    <mergeCell ref="J6:L6"/>
    <mergeCell ref="A6:C6"/>
    <mergeCell ref="G5:I5"/>
    <mergeCell ref="G6:I6"/>
    <mergeCell ref="D5:F5"/>
    <mergeCell ref="D6:F6"/>
    <mergeCell ref="A5:C5"/>
    <mergeCell ref="A1:W4"/>
    <mergeCell ref="A52:C52"/>
    <mergeCell ref="D52:T52"/>
    <mergeCell ref="U52:W52"/>
    <mergeCell ref="V6:W6"/>
    <mergeCell ref="M6:O6"/>
    <mergeCell ref="A7:W42"/>
    <mergeCell ref="U44:W49"/>
    <mergeCell ref="U50:W51"/>
    <mergeCell ref="A43:T51"/>
    <mergeCell ref="V5:W5"/>
    <mergeCell ref="S5:U5"/>
    <mergeCell ref="U43:W43"/>
    <mergeCell ref="P5:R5"/>
    <mergeCell ref="P6:R6"/>
    <mergeCell ref="S6:U6"/>
  </mergeCells>
  <conditionalFormatting sqref="U44">
    <cfRule type="cellIs" dxfId="51" priority="7" operator="equal">
      <formula>3</formula>
    </cfRule>
    <cfRule type="cellIs" dxfId="50" priority="8" operator="equal">
      <formula>2</formula>
    </cfRule>
    <cfRule type="cellIs" dxfId="49" priority="9" operator="equal">
      <formula>1</formula>
    </cfRule>
  </conditionalFormatting>
  <conditionalFormatting sqref="U50">
    <cfRule type="beginsWith" dxfId="48" priority="4" operator="beginsWith" text="Proven">
      <formula>LEFT(U50,LEN("Proven"))="Proven"</formula>
    </cfRule>
    <cfRule type="beginsWith" dxfId="47" priority="5" operator="beginsWith" text="Unproven">
      <formula>LEFT(U50,LEN("Unproven"))="Unproven"</formula>
    </cfRule>
    <cfRule type="containsText" dxfId="46" priority="6" operator="containsText" text="Improving">
      <formula>NOT(ISERROR(SEARCH("Improving",U50)))</formula>
    </cfRule>
  </conditionalFormatting>
  <conditionalFormatting sqref="U43">
    <cfRule type="expression" dxfId="45" priority="1">
      <formula>$U$44=3</formula>
    </cfRule>
    <cfRule type="expression" dxfId="44" priority="2">
      <formula>$U$44=2</formula>
    </cfRule>
    <cfRule type="expression" dxfId="43" priority="3">
      <formula>$U$44=1</formula>
    </cfRule>
  </conditionalFormatting>
  <pageMargins left="0" right="0" top="0" bottom="0" header="0.3" footer="0.3"/>
  <pageSetup paperSize="1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'Construction Sheet'!$J$2:$J$4</xm:f>
          </x14:formula1>
          <xm:sqref>J6:L6</xm:sqref>
        </x14:dataValidation>
        <x14:dataValidation type="list" allowBlank="1" showInputMessage="1" xr:uid="{00000000-0002-0000-0000-000001000000}">
          <x14:formula1>
            <xm:f>'Construction Sheet'!$H$2:$H$5</xm:f>
          </x14:formula1>
          <xm:sqref>M6:O6</xm:sqref>
        </x14:dataValidation>
        <x14:dataValidation type="list" allowBlank="1" showInputMessage="1" xr:uid="{00000000-0002-0000-0000-000002000000}">
          <x14:formula1>
            <xm:f>'Construction Sheet'!$J$15</xm:f>
          </x14:formula1>
          <xm:sqref>P6:R6</xm:sqref>
        </x14:dataValidation>
        <x14:dataValidation type="list" allowBlank="1" showInputMessage="1" xr:uid="{00000000-0002-0000-0000-000003000000}">
          <x14:formula1>
            <xm:f>'Construction Sheet'!$I$15:$I$23</xm:f>
          </x14:formula1>
          <xm:sqref>G6:I6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AT52"/>
  <sheetViews>
    <sheetView showWhiteSpace="0" view="pageLayout" zoomScaleNormal="100" workbookViewId="0">
      <selection activeCell="A5" sqref="A5:B5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46" ht="12.75" customHeight="1" x14ac:dyDescent="0.25">
      <c r="A1" s="138" t="s">
        <v>11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5" customHeight="1" thickBot="1" x14ac:dyDescent="0.3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5.75" thickBot="1" x14ac:dyDescent="0.3">
      <c r="A3" s="165" t="s">
        <v>12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5"/>
      <c r="M3" s="165" t="s">
        <v>13</v>
      </c>
      <c r="N3" s="134"/>
      <c r="O3" s="134"/>
      <c r="P3" s="134"/>
      <c r="Q3" s="134"/>
      <c r="R3" s="134"/>
      <c r="S3" s="134"/>
      <c r="T3" s="134"/>
      <c r="U3" s="134"/>
      <c r="V3" s="134"/>
      <c r="W3" s="135"/>
      <c r="X3" s="12"/>
      <c r="Y3" s="13"/>
      <c r="Z3" s="13"/>
      <c r="AA3" s="13"/>
      <c r="AB3" s="13"/>
      <c r="AC3" s="13"/>
      <c r="AD3" s="12"/>
      <c r="AE3" s="13"/>
      <c r="AF3" s="13"/>
      <c r="AG3" s="13"/>
      <c r="AH3" s="13"/>
      <c r="AI3" s="13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8" t="s">
        <v>14</v>
      </c>
      <c r="B4" s="184"/>
      <c r="C4" s="148" t="s">
        <v>15</v>
      </c>
      <c r="D4" s="184"/>
      <c r="E4" s="184"/>
      <c r="F4" s="149"/>
      <c r="G4" s="148" t="s">
        <v>16</v>
      </c>
      <c r="H4" s="149"/>
      <c r="I4" s="148" t="s">
        <v>17</v>
      </c>
      <c r="J4" s="149"/>
      <c r="K4" s="148" t="s">
        <v>18</v>
      </c>
      <c r="L4" s="184"/>
      <c r="M4" s="178"/>
      <c r="N4" s="179"/>
      <c r="O4" s="179"/>
      <c r="P4" s="179"/>
      <c r="Q4" s="179"/>
      <c r="R4" s="179"/>
      <c r="S4" s="179"/>
      <c r="T4" s="179"/>
      <c r="U4" s="179"/>
      <c r="V4" s="179"/>
      <c r="W4" s="180"/>
      <c r="X4" s="15"/>
      <c r="Y4" s="14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.75" thickBot="1" x14ac:dyDescent="0.3">
      <c r="A5" s="160" t="s">
        <v>204</v>
      </c>
      <c r="B5" s="161"/>
      <c r="C5" s="157" t="s">
        <v>211</v>
      </c>
      <c r="D5" s="158"/>
      <c r="E5" s="158"/>
      <c r="F5" s="159"/>
      <c r="G5" s="160" t="s">
        <v>86</v>
      </c>
      <c r="H5" s="161"/>
      <c r="I5" s="160" t="s">
        <v>193</v>
      </c>
      <c r="J5" s="161"/>
      <c r="K5" s="160" t="s">
        <v>210</v>
      </c>
      <c r="L5" s="164"/>
      <c r="M5" s="181"/>
      <c r="N5" s="182"/>
      <c r="O5" s="182"/>
      <c r="P5" s="182"/>
      <c r="Q5" s="182"/>
      <c r="R5" s="182"/>
      <c r="S5" s="182"/>
      <c r="T5" s="182"/>
      <c r="U5" s="182"/>
      <c r="V5" s="182"/>
      <c r="W5" s="183"/>
      <c r="X5" s="15"/>
      <c r="Y5" s="14"/>
      <c r="Z5" s="14"/>
      <c r="AA5" s="14"/>
      <c r="AB5" s="14"/>
      <c r="AC5" s="14"/>
      <c r="AD5" s="16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ht="15.75" thickBot="1" x14ac:dyDescent="0.3">
      <c r="A6" s="162" t="s">
        <v>19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81"/>
      <c r="N6" s="182"/>
      <c r="O6" s="182"/>
      <c r="P6" s="182"/>
      <c r="Q6" s="182"/>
      <c r="R6" s="182"/>
      <c r="S6" s="182"/>
      <c r="T6" s="182"/>
      <c r="U6" s="182"/>
      <c r="V6" s="182"/>
      <c r="W6" s="183"/>
      <c r="X6" s="15"/>
      <c r="Y6" s="14"/>
      <c r="Z6" s="14"/>
      <c r="AA6" s="14"/>
      <c r="AB6" s="14"/>
      <c r="AC6" s="14"/>
      <c r="AD6" s="16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ht="15.75" thickBot="1" x14ac:dyDescent="0.3">
      <c r="A7" s="7" t="s">
        <v>20</v>
      </c>
      <c r="B7" s="140" t="s">
        <v>21</v>
      </c>
      <c r="C7" s="150"/>
      <c r="D7" s="141"/>
      <c r="E7" s="140" t="s">
        <v>22</v>
      </c>
      <c r="F7" s="150"/>
      <c r="G7" s="150"/>
      <c r="H7" s="141"/>
      <c r="I7" s="140" t="s">
        <v>23</v>
      </c>
      <c r="J7" s="141"/>
      <c r="K7" s="140" t="s">
        <v>24</v>
      </c>
      <c r="L7" s="150"/>
      <c r="M7" s="181"/>
      <c r="N7" s="182"/>
      <c r="O7" s="182"/>
      <c r="P7" s="182"/>
      <c r="Q7" s="182"/>
      <c r="R7" s="182"/>
      <c r="S7" s="182"/>
      <c r="T7" s="182"/>
      <c r="U7" s="182"/>
      <c r="V7" s="182"/>
      <c r="W7" s="183"/>
      <c r="X7" s="15"/>
      <c r="Y7" s="14"/>
      <c r="Z7" s="14"/>
      <c r="AA7" s="14"/>
      <c r="AB7" s="14"/>
      <c r="AC7" s="14"/>
      <c r="AD7" s="16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24" t="s">
        <v>25</v>
      </c>
      <c r="B8" s="175" t="s">
        <v>88</v>
      </c>
      <c r="C8" s="176"/>
      <c r="D8" s="177"/>
      <c r="E8" s="142"/>
      <c r="F8" s="151"/>
      <c r="G8" s="151"/>
      <c r="H8" s="143"/>
      <c r="I8" s="142"/>
      <c r="J8" s="173"/>
      <c r="K8" s="172"/>
      <c r="L8" s="143"/>
      <c r="M8" s="181"/>
      <c r="N8" s="182"/>
      <c r="O8" s="182"/>
      <c r="P8" s="182"/>
      <c r="Q8" s="182"/>
      <c r="R8" s="182"/>
      <c r="S8" s="182"/>
      <c r="T8" s="182"/>
      <c r="U8" s="182"/>
      <c r="V8" s="182"/>
      <c r="W8" s="183"/>
      <c r="X8" s="15"/>
      <c r="Y8" s="14"/>
      <c r="Z8" s="14"/>
      <c r="AA8" s="14"/>
      <c r="AB8" s="14"/>
      <c r="AC8" s="14"/>
      <c r="AD8" s="16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3" t="s">
        <v>26</v>
      </c>
      <c r="B9" s="128" t="s">
        <v>88</v>
      </c>
      <c r="C9" s="123"/>
      <c r="D9" s="124"/>
      <c r="E9" s="144"/>
      <c r="F9" s="152"/>
      <c r="G9" s="152"/>
      <c r="H9" s="145"/>
      <c r="I9" s="144"/>
      <c r="J9" s="174"/>
      <c r="K9" s="156"/>
      <c r="L9" s="145"/>
      <c r="M9" s="181"/>
      <c r="N9" s="182"/>
      <c r="O9" s="182"/>
      <c r="P9" s="182"/>
      <c r="Q9" s="182"/>
      <c r="R9" s="182"/>
      <c r="S9" s="182"/>
      <c r="T9" s="182"/>
      <c r="U9" s="182"/>
      <c r="V9" s="182"/>
      <c r="W9" s="183"/>
      <c r="X9" s="15"/>
      <c r="Y9" s="14"/>
      <c r="Z9" s="14"/>
      <c r="AA9" s="14"/>
      <c r="AB9" s="14"/>
      <c r="AC9" s="14"/>
      <c r="AD9" s="16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8" t="s">
        <v>27</v>
      </c>
      <c r="B10" s="127" t="s">
        <v>89</v>
      </c>
      <c r="C10" s="120"/>
      <c r="D10" s="121"/>
      <c r="E10" s="146"/>
      <c r="F10" s="153"/>
      <c r="G10" s="153"/>
      <c r="H10" s="147"/>
      <c r="I10" s="146"/>
      <c r="J10" s="188"/>
      <c r="K10" s="189"/>
      <c r="L10" s="147"/>
      <c r="M10" s="181"/>
      <c r="N10" s="182"/>
      <c r="O10" s="182"/>
      <c r="P10" s="182"/>
      <c r="Q10" s="182"/>
      <c r="R10" s="182"/>
      <c r="S10" s="182"/>
      <c r="T10" s="182"/>
      <c r="U10" s="182"/>
      <c r="V10" s="182"/>
      <c r="W10" s="183"/>
      <c r="X10" s="15"/>
      <c r="Y10" s="14"/>
      <c r="Z10" s="14"/>
      <c r="AA10" s="14"/>
      <c r="AB10" s="14"/>
      <c r="AC10" s="14"/>
      <c r="AD10" s="16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3" t="s">
        <v>28</v>
      </c>
      <c r="B11" s="128" t="str" cm="1">
        <f t="array" ref="B11">_xlfn.IFS(G5="VMC","N/A",G5="HBMX","",G5="Lathe","N/A",G5="VMC / Rotary A","",G5="","")</f>
        <v>N/A</v>
      </c>
      <c r="C11" s="123"/>
      <c r="D11" s="124"/>
      <c r="E11" s="144"/>
      <c r="F11" s="152"/>
      <c r="G11" s="152"/>
      <c r="H11" s="145"/>
      <c r="I11" s="144"/>
      <c r="J11" s="174"/>
      <c r="K11" s="156"/>
      <c r="L11" s="145"/>
      <c r="M11" s="181"/>
      <c r="N11" s="182"/>
      <c r="O11" s="182"/>
      <c r="P11" s="182"/>
      <c r="Q11" s="182"/>
      <c r="R11" s="182"/>
      <c r="S11" s="182"/>
      <c r="T11" s="182"/>
      <c r="U11" s="182"/>
      <c r="V11" s="182"/>
      <c r="W11" s="183"/>
      <c r="X11" s="15"/>
      <c r="Y11" s="14"/>
      <c r="Z11" s="14"/>
      <c r="AA11" s="14"/>
      <c r="AB11" s="14"/>
      <c r="AC11" s="14"/>
      <c r="AD11" s="16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ht="15.75" thickBot="1" x14ac:dyDescent="0.3">
      <c r="A12" s="25" t="s">
        <v>29</v>
      </c>
      <c r="B12" s="191" t="str" cm="1">
        <f t="array" ref="B12">_xlfn.IFS(G5="VMC","N/A",G5="HBMX","",G5="Lathe","N/A",G5="VMC / Rotary A","N/A",G5="","")</f>
        <v>N/A</v>
      </c>
      <c r="C12" s="192"/>
      <c r="D12" s="193"/>
      <c r="E12" s="186"/>
      <c r="F12" s="190"/>
      <c r="G12" s="190"/>
      <c r="H12" s="155"/>
      <c r="I12" s="186"/>
      <c r="J12" s="187"/>
      <c r="K12" s="154"/>
      <c r="L12" s="155"/>
      <c r="M12" s="181"/>
      <c r="N12" s="182"/>
      <c r="O12" s="182"/>
      <c r="P12" s="182"/>
      <c r="Q12" s="182"/>
      <c r="R12" s="182"/>
      <c r="S12" s="182"/>
      <c r="T12" s="182"/>
      <c r="U12" s="182"/>
      <c r="V12" s="182"/>
      <c r="W12" s="183"/>
      <c r="X12" s="15"/>
      <c r="Y12" s="14"/>
      <c r="Z12" s="14"/>
      <c r="AA12" s="14"/>
      <c r="AB12" s="14"/>
      <c r="AC12" s="14"/>
      <c r="AD12" s="16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ht="15.75" thickBot="1" x14ac:dyDescent="0.3">
      <c r="A13" s="7" t="s">
        <v>30</v>
      </c>
      <c r="B13" s="194" t="s">
        <v>84</v>
      </c>
      <c r="C13" s="195"/>
      <c r="D13" s="204"/>
      <c r="E13" s="202" t="s">
        <v>31</v>
      </c>
      <c r="F13" s="203"/>
      <c r="G13" s="194" t="s">
        <v>205</v>
      </c>
      <c r="H13" s="195"/>
      <c r="I13" s="195"/>
      <c r="J13" s="195"/>
      <c r="K13" s="195"/>
      <c r="L13" s="195"/>
      <c r="M13" s="181"/>
      <c r="N13" s="182"/>
      <c r="O13" s="182"/>
      <c r="P13" s="182"/>
      <c r="Q13" s="182"/>
      <c r="R13" s="182"/>
      <c r="S13" s="182"/>
      <c r="T13" s="182"/>
      <c r="U13" s="182"/>
      <c r="V13" s="182"/>
      <c r="W13" s="183"/>
      <c r="X13" s="15"/>
      <c r="Y13" s="14"/>
      <c r="Z13" s="14"/>
      <c r="AA13" s="14"/>
      <c r="AB13" s="14"/>
      <c r="AC13" s="14"/>
      <c r="AD13" s="16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ht="15.75" thickBot="1" x14ac:dyDescent="0.3">
      <c r="A14" s="165" t="s">
        <v>32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5"/>
      <c r="M14" s="181"/>
      <c r="N14" s="182"/>
      <c r="O14" s="182"/>
      <c r="P14" s="182"/>
      <c r="Q14" s="182"/>
      <c r="R14" s="182"/>
      <c r="S14" s="182"/>
      <c r="T14" s="182"/>
      <c r="U14" s="182"/>
      <c r="V14" s="182"/>
      <c r="W14" s="183"/>
      <c r="X14" s="15"/>
      <c r="Y14" s="14"/>
      <c r="Z14" s="14"/>
      <c r="AA14" s="14"/>
      <c r="AB14" s="14"/>
      <c r="AC14" s="14"/>
      <c r="AD14" s="16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ht="15.75" thickBot="1" x14ac:dyDescent="0.3">
      <c r="A15" s="140" t="s">
        <v>17</v>
      </c>
      <c r="B15" s="141"/>
      <c r="C15" s="150" t="s">
        <v>33</v>
      </c>
      <c r="D15" s="150"/>
      <c r="E15" s="150"/>
      <c r="F15" s="150"/>
      <c r="G15" s="150"/>
      <c r="H15" s="150"/>
      <c r="I15" s="141"/>
      <c r="J15" s="104" t="s">
        <v>34</v>
      </c>
      <c r="K15" s="106"/>
      <c r="L15" s="22" t="s">
        <v>35</v>
      </c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3"/>
      <c r="X15" s="15"/>
      <c r="Y15" s="14"/>
      <c r="Z15" s="14"/>
      <c r="AA15" s="14"/>
      <c r="AB15" s="14"/>
      <c r="AC15" s="14"/>
      <c r="AD15" s="16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2"/>
      <c r="B16" s="143"/>
      <c r="C16" s="151"/>
      <c r="D16" s="151"/>
      <c r="E16" s="151"/>
      <c r="F16" s="151"/>
      <c r="G16" s="151"/>
      <c r="H16" s="151"/>
      <c r="I16" s="143"/>
      <c r="J16" s="107"/>
      <c r="K16" s="109"/>
      <c r="L16" s="6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3"/>
      <c r="X16" s="15"/>
      <c r="Y16" s="14"/>
      <c r="Z16" s="14"/>
      <c r="AA16" s="14"/>
      <c r="AB16" s="14"/>
      <c r="AC16" s="14"/>
      <c r="AD16" s="16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4"/>
      <c r="B17" s="145"/>
      <c r="C17" s="152"/>
      <c r="D17" s="152"/>
      <c r="E17" s="152"/>
      <c r="F17" s="152"/>
      <c r="G17" s="152"/>
      <c r="H17" s="152"/>
      <c r="I17" s="145"/>
      <c r="J17" s="110"/>
      <c r="K17" s="112"/>
      <c r="L17" s="4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3"/>
      <c r="X17" s="15"/>
      <c r="Y17" s="14"/>
      <c r="Z17" s="14"/>
      <c r="AA17" s="14"/>
      <c r="AB17" s="14"/>
      <c r="AC17" s="14"/>
      <c r="AD17" s="16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146"/>
      <c r="B18" s="147"/>
      <c r="C18" s="153"/>
      <c r="D18" s="153"/>
      <c r="E18" s="153"/>
      <c r="F18" s="153"/>
      <c r="G18" s="153"/>
      <c r="H18" s="153"/>
      <c r="I18" s="147"/>
      <c r="J18" s="113"/>
      <c r="K18" s="115"/>
      <c r="L18" s="5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3"/>
      <c r="X18" s="15"/>
      <c r="Y18" s="14"/>
      <c r="Z18" s="14"/>
      <c r="AA18" s="14"/>
      <c r="AB18" s="14"/>
      <c r="AC18" s="14"/>
      <c r="AD18" s="16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144"/>
      <c r="B19" s="145"/>
      <c r="C19" s="152"/>
      <c r="D19" s="152"/>
      <c r="E19" s="152"/>
      <c r="F19" s="152"/>
      <c r="G19" s="152"/>
      <c r="H19" s="152"/>
      <c r="I19" s="145"/>
      <c r="J19" s="110"/>
      <c r="K19" s="112"/>
      <c r="L19" s="4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3"/>
      <c r="X19" s="15"/>
      <c r="Y19" s="14"/>
      <c r="Z19" s="14"/>
      <c r="AA19" s="14"/>
      <c r="AB19" s="14"/>
      <c r="AC19" s="14"/>
      <c r="AD19" s="16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ht="15.75" thickBot="1" x14ac:dyDescent="0.3">
      <c r="A20" s="146"/>
      <c r="B20" s="147"/>
      <c r="C20" s="153"/>
      <c r="D20" s="153"/>
      <c r="E20" s="153"/>
      <c r="F20" s="153"/>
      <c r="G20" s="153"/>
      <c r="H20" s="153"/>
      <c r="I20" s="147"/>
      <c r="J20" s="113"/>
      <c r="K20" s="115"/>
      <c r="L20" s="5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3"/>
      <c r="X20" s="15"/>
      <c r="Y20" s="14"/>
      <c r="Z20" s="14"/>
      <c r="AA20" s="14"/>
      <c r="AB20" s="14"/>
      <c r="AC20" s="14"/>
      <c r="AD20" s="16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5.75" thickBot="1" x14ac:dyDescent="0.3">
      <c r="A21" s="162" t="s">
        <v>36</v>
      </c>
      <c r="B21" s="196"/>
      <c r="C21" s="196"/>
      <c r="D21" s="196"/>
      <c r="E21" s="196"/>
      <c r="F21" s="196"/>
      <c r="G21" s="163"/>
      <c r="H21" s="163"/>
      <c r="I21" s="163"/>
      <c r="J21" s="197"/>
      <c r="K21" s="49"/>
      <c r="L21" s="50"/>
      <c r="M21" s="181"/>
      <c r="N21" s="182"/>
      <c r="O21" s="182"/>
      <c r="P21" s="182"/>
      <c r="Q21" s="182"/>
      <c r="R21" s="182"/>
      <c r="S21" s="182"/>
      <c r="T21" s="182"/>
      <c r="U21" s="182"/>
      <c r="V21" s="182"/>
      <c r="W21" s="183"/>
      <c r="X21" s="15"/>
      <c r="Y21" s="14"/>
      <c r="Z21" s="14"/>
      <c r="AA21" s="14"/>
      <c r="AB21" s="14"/>
      <c r="AC21" s="14"/>
      <c r="AD21" s="16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ht="15.75" thickBot="1" x14ac:dyDescent="0.3">
      <c r="A22" s="40" t="s">
        <v>37</v>
      </c>
      <c r="B22" s="104" t="s">
        <v>17</v>
      </c>
      <c r="C22" s="105"/>
      <c r="D22" s="105"/>
      <c r="E22" s="105"/>
      <c r="F22" s="106"/>
      <c r="G22" s="43" t="s">
        <v>38</v>
      </c>
      <c r="H22" s="140" t="s">
        <v>39</v>
      </c>
      <c r="I22" s="141"/>
      <c r="J22" s="140" t="s">
        <v>34</v>
      </c>
      <c r="K22" s="141"/>
      <c r="L22" s="41" t="s">
        <v>35</v>
      </c>
      <c r="M22" s="181"/>
      <c r="N22" s="182"/>
      <c r="O22" s="182"/>
      <c r="P22" s="182"/>
      <c r="Q22" s="182"/>
      <c r="R22" s="182"/>
      <c r="S22" s="182"/>
      <c r="T22" s="182"/>
      <c r="U22" s="182"/>
      <c r="V22" s="182"/>
      <c r="W22" s="183"/>
      <c r="X22" s="15"/>
      <c r="Y22" s="14"/>
      <c r="Z22" s="14"/>
      <c r="AA22" s="14"/>
      <c r="AB22" s="14"/>
      <c r="AC22" s="14"/>
      <c r="AD22" s="16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26">
        <v>1</v>
      </c>
      <c r="B23" s="107"/>
      <c r="C23" s="108"/>
      <c r="D23" s="108"/>
      <c r="E23" s="108"/>
      <c r="F23" s="109"/>
      <c r="G23" s="34"/>
      <c r="H23" s="142"/>
      <c r="I23" s="143"/>
      <c r="J23" s="142"/>
      <c r="K23" s="143"/>
      <c r="L23" s="51"/>
      <c r="M23" s="181"/>
      <c r="N23" s="182"/>
      <c r="O23" s="182"/>
      <c r="P23" s="182"/>
      <c r="Q23" s="182"/>
      <c r="R23" s="182"/>
      <c r="S23" s="182"/>
      <c r="T23" s="182"/>
      <c r="U23" s="182"/>
      <c r="V23" s="182"/>
      <c r="W23" s="183"/>
      <c r="X23" s="15"/>
      <c r="Y23" s="14"/>
      <c r="Z23" s="14"/>
      <c r="AA23" s="14"/>
      <c r="AB23" s="14"/>
      <c r="AC23" s="14"/>
      <c r="AD23" s="16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27">
        <v>2</v>
      </c>
      <c r="B24" s="110"/>
      <c r="C24" s="111"/>
      <c r="D24" s="111"/>
      <c r="E24" s="111"/>
      <c r="F24" s="112"/>
      <c r="G24" s="44"/>
      <c r="H24" s="144"/>
      <c r="I24" s="145"/>
      <c r="J24" s="144"/>
      <c r="K24" s="145"/>
      <c r="L24" s="42"/>
      <c r="M24" s="181"/>
      <c r="N24" s="182"/>
      <c r="O24" s="182"/>
      <c r="P24" s="182"/>
      <c r="Q24" s="182"/>
      <c r="R24" s="182"/>
      <c r="S24" s="182"/>
      <c r="T24" s="182"/>
      <c r="U24" s="182"/>
      <c r="V24" s="182"/>
      <c r="W24" s="183"/>
      <c r="X24" s="15"/>
      <c r="Y24" s="14"/>
      <c r="Z24" s="14"/>
      <c r="AA24" s="14"/>
      <c r="AB24" s="14"/>
      <c r="AC24" s="14"/>
      <c r="AD24" s="16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28">
        <v>3</v>
      </c>
      <c r="B25" s="113"/>
      <c r="C25" s="114"/>
      <c r="D25" s="114"/>
      <c r="E25" s="114"/>
      <c r="F25" s="115"/>
      <c r="G25" s="38"/>
      <c r="H25" s="146"/>
      <c r="I25" s="147"/>
      <c r="J25" s="146"/>
      <c r="K25" s="147"/>
      <c r="L25" s="39"/>
      <c r="M25" s="181"/>
      <c r="N25" s="182"/>
      <c r="O25" s="182"/>
      <c r="P25" s="182"/>
      <c r="Q25" s="182"/>
      <c r="R25" s="182"/>
      <c r="S25" s="182"/>
      <c r="T25" s="182"/>
      <c r="U25" s="182"/>
      <c r="V25" s="182"/>
      <c r="W25" s="183"/>
      <c r="X25" s="15"/>
      <c r="Y25" s="14"/>
      <c r="Z25" s="14"/>
      <c r="AA25" s="14"/>
      <c r="AB25" s="14"/>
      <c r="AC25" s="14"/>
      <c r="AD25" s="16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ht="15" customHeight="1" x14ac:dyDescent="0.25">
      <c r="A26" s="27">
        <v>4</v>
      </c>
      <c r="B26" s="110"/>
      <c r="C26" s="111"/>
      <c r="D26" s="111"/>
      <c r="E26" s="111"/>
      <c r="F26" s="112"/>
      <c r="G26" s="44"/>
      <c r="H26" s="144"/>
      <c r="I26" s="145"/>
      <c r="J26" s="144"/>
      <c r="K26" s="145"/>
      <c r="L26" s="42"/>
      <c r="M26" s="166" t="s">
        <v>40</v>
      </c>
      <c r="N26" s="167"/>
      <c r="O26" s="167"/>
      <c r="P26" s="167"/>
      <c r="Q26" s="167"/>
      <c r="R26" s="167"/>
      <c r="S26" s="167"/>
      <c r="T26" s="167"/>
      <c r="U26" s="167"/>
      <c r="V26" s="167"/>
      <c r="W26" s="168"/>
      <c r="X26" s="15"/>
      <c r="Y26" s="14"/>
      <c r="Z26" s="14"/>
      <c r="AA26" s="14"/>
      <c r="AB26" s="14"/>
      <c r="AC26" s="14"/>
      <c r="AD26" s="16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ht="15.75" customHeight="1" thickBot="1" x14ac:dyDescent="0.3">
      <c r="A27" s="29">
        <v>5</v>
      </c>
      <c r="B27" s="116"/>
      <c r="C27" s="117"/>
      <c r="D27" s="117"/>
      <c r="E27" s="117"/>
      <c r="F27" s="118"/>
      <c r="G27" s="46"/>
      <c r="H27" s="186"/>
      <c r="I27" s="155"/>
      <c r="J27" s="186"/>
      <c r="K27" s="155"/>
      <c r="L27" s="45"/>
      <c r="M27" s="169"/>
      <c r="N27" s="170"/>
      <c r="O27" s="170"/>
      <c r="P27" s="170"/>
      <c r="Q27" s="170"/>
      <c r="R27" s="170"/>
      <c r="S27" s="170"/>
      <c r="T27" s="170"/>
      <c r="U27" s="170"/>
      <c r="V27" s="170"/>
      <c r="W27" s="171"/>
      <c r="X27" s="15"/>
      <c r="Y27" s="14"/>
      <c r="Z27" s="14"/>
      <c r="AA27" s="14"/>
      <c r="AB27" s="14"/>
      <c r="AC27" s="14"/>
      <c r="AD27" s="16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ht="15.75" thickBot="1" x14ac:dyDescent="0.3">
      <c r="A28" s="165" t="s">
        <v>41</v>
      </c>
      <c r="B28" s="198"/>
      <c r="C28" s="198"/>
      <c r="D28" s="198"/>
      <c r="E28" s="198"/>
      <c r="F28" s="198"/>
      <c r="G28" s="134"/>
      <c r="H28" s="134"/>
      <c r="I28" s="134"/>
      <c r="J28" s="134"/>
      <c r="K28" s="134"/>
      <c r="L28" s="134"/>
      <c r="M28" s="134"/>
      <c r="N28" s="134"/>
      <c r="O28" s="134"/>
      <c r="P28" s="133" t="s">
        <v>42</v>
      </c>
      <c r="Q28" s="134"/>
      <c r="R28" s="134"/>
      <c r="S28" s="134"/>
      <c r="T28" s="134"/>
      <c r="U28" s="134"/>
      <c r="V28" s="134"/>
      <c r="W28" s="135"/>
      <c r="X28" s="15"/>
      <c r="Y28" s="14"/>
      <c r="Z28" s="14"/>
      <c r="AA28" s="14"/>
      <c r="AB28" s="14"/>
      <c r="AC28" s="14"/>
      <c r="AD28" s="16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6" t="s">
        <v>38</v>
      </c>
      <c r="B29" s="178" t="s">
        <v>43</v>
      </c>
      <c r="C29" s="179"/>
      <c r="D29" s="179"/>
      <c r="E29" s="179"/>
      <c r="F29" s="180"/>
      <c r="G29" s="35" t="s">
        <v>44</v>
      </c>
      <c r="H29" s="36" t="s">
        <v>45</v>
      </c>
      <c r="I29" s="125" t="s">
        <v>46</v>
      </c>
      <c r="J29" s="126"/>
      <c r="K29" s="125" t="s">
        <v>47</v>
      </c>
      <c r="L29" s="126"/>
      <c r="M29" s="125" t="s">
        <v>48</v>
      </c>
      <c r="N29" s="126"/>
      <c r="O29" s="10" t="s">
        <v>49</v>
      </c>
      <c r="P29" s="136" t="s">
        <v>50</v>
      </c>
      <c r="Q29" s="137"/>
      <c r="R29" s="137"/>
      <c r="S29" s="126"/>
      <c r="T29" s="36" t="s">
        <v>51</v>
      </c>
      <c r="U29" s="36" t="s">
        <v>52</v>
      </c>
      <c r="V29" s="36" t="s">
        <v>35</v>
      </c>
      <c r="W29" s="35" t="s">
        <v>24</v>
      </c>
      <c r="X29" s="15"/>
      <c r="Y29" s="14"/>
      <c r="Z29" s="14"/>
      <c r="AA29" s="14"/>
      <c r="AB29" s="14"/>
      <c r="AC29" s="14"/>
      <c r="AD29" s="16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3">
        <v>9</v>
      </c>
      <c r="B30" s="199" t="str">
        <f>_xlfn.IFNA(VLOOKUP(A30,'Construction Sheet'!$A$3:$D$50,2,FALSE), "")</f>
        <v>ø2" Mitsubishi AJX Feedmill</v>
      </c>
      <c r="C30" s="200"/>
      <c r="D30" s="200"/>
      <c r="E30" s="200"/>
      <c r="F30" s="201"/>
      <c r="G30" s="33" t="str">
        <f>_xlfn.IFNA(VLOOKUP(A30,'Construction Sheet'!$A$3:$D$50,3,FALSE),"")</f>
        <v>.118r</v>
      </c>
      <c r="H30" s="33" t="s">
        <v>94</v>
      </c>
      <c r="I30" s="127" t="str">
        <f>IF($B30="","",IF(10&lt;$A30,IF($A30&lt;18,".002","N/A"),"N/A"))</f>
        <v>N/A</v>
      </c>
      <c r="J30" s="121"/>
      <c r="K30" s="127" t="str">
        <f>IF($B30="","",IF($A30&gt;=1,IF($A30&lt;=33,VLOOKUP('Primary Operation 1'!$A30,'Construction Sheet'!$A$2:$F$35,5),""),""))</f>
        <v>Arbor</v>
      </c>
      <c r="L30" s="121"/>
      <c r="M30" s="127" t="str">
        <f>IF($B30="","",IF($A30&gt;=1,IF($A30&lt;=33,VLOOKUP('Primary Operation 1'!$A30,'Construction Sheet'!$A$2:$F$35,6),""),""))</f>
        <v>Air Blast</v>
      </c>
      <c r="N30" s="121"/>
      <c r="O30" s="32" t="s">
        <v>206</v>
      </c>
      <c r="P30" s="119"/>
      <c r="Q30" s="120"/>
      <c r="R30" s="120"/>
      <c r="S30" s="121"/>
      <c r="T30" s="33"/>
      <c r="U30" s="33"/>
      <c r="V30" s="33"/>
      <c r="W30" s="33"/>
      <c r="X30" s="15"/>
      <c r="Y30" s="14"/>
      <c r="Z30" s="14"/>
      <c r="AA30" s="14"/>
      <c r="AB30" s="14"/>
      <c r="AC30" s="14"/>
      <c r="AD30" s="16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ht="15" customHeight="1" x14ac:dyDescent="0.25">
      <c r="A31" s="31">
        <v>25</v>
      </c>
      <c r="B31" s="205" t="s">
        <v>251</v>
      </c>
      <c r="C31" s="206"/>
      <c r="D31" s="206"/>
      <c r="E31" s="206"/>
      <c r="F31" s="207"/>
      <c r="G31" s="31" t="s">
        <v>130</v>
      </c>
      <c r="H31" s="31" t="s">
        <v>117</v>
      </c>
      <c r="I31" s="128" t="s">
        <v>130</v>
      </c>
      <c r="J31" s="124"/>
      <c r="K31" s="128" t="s">
        <v>118</v>
      </c>
      <c r="L31" s="124"/>
      <c r="M31" s="128" t="s">
        <v>128</v>
      </c>
      <c r="N31" s="124"/>
      <c r="O31" s="30" t="s">
        <v>208</v>
      </c>
      <c r="P31" s="122"/>
      <c r="Q31" s="123"/>
      <c r="R31" s="123"/>
      <c r="S31" s="124"/>
      <c r="T31" s="31"/>
      <c r="U31" s="31"/>
      <c r="V31" s="31"/>
      <c r="W31" s="31"/>
      <c r="X31" s="15"/>
      <c r="Y31" s="14"/>
      <c r="Z31" s="14"/>
      <c r="AA31" s="14"/>
      <c r="AB31" s="14"/>
      <c r="AC31" s="14"/>
      <c r="AD31" s="16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3">
        <v>1</v>
      </c>
      <c r="B32" s="199" t="str">
        <f>_xlfn.IFNA(VLOOKUP(A32,'Construction Sheet'!$A$3:$D$50,2,FALSE), "")</f>
        <v>ø5/8" Mitsubishi AJX Feedmill</v>
      </c>
      <c r="C32" s="200"/>
      <c r="D32" s="200"/>
      <c r="E32" s="200"/>
      <c r="F32" s="201"/>
      <c r="G32" s="33" t="str">
        <f>_xlfn.IFNA(VLOOKUP(A32,'Construction Sheet'!$A$3:$D$50,3,FALSE),"")</f>
        <v>.078r</v>
      </c>
      <c r="H32" s="33" t="s">
        <v>94</v>
      </c>
      <c r="I32" s="127" t="str">
        <f t="shared" ref="I32:I44" si="0">IF($B32="","",IF(10&lt;$A32,IF($A32&lt;18,".002","N/A"),"N/A"))</f>
        <v>N/A</v>
      </c>
      <c r="J32" s="121"/>
      <c r="K32" s="127" t="str">
        <f>IF($B32="","",IF($A32&gt;=1,IF($A32&lt;=33,VLOOKUP('Primary Operation 1'!$A32,'Construction Sheet'!$A$2:$F$35,5),""),""))</f>
        <v>Weldon / Collet</v>
      </c>
      <c r="L32" s="121"/>
      <c r="M32" s="127" t="str">
        <f>IF($B32="","",IF($A32&gt;=1,IF($A32&lt;=33,VLOOKUP('Primary Operation 1'!$A32,'Construction Sheet'!$A$2:$F$35,6),""),""))</f>
        <v>Air Blast</v>
      </c>
      <c r="N32" s="121"/>
      <c r="O32" s="32" t="s">
        <v>252</v>
      </c>
      <c r="P32" s="119"/>
      <c r="Q32" s="120"/>
      <c r="R32" s="120"/>
      <c r="S32" s="121"/>
      <c r="T32" s="33"/>
      <c r="U32" s="33"/>
      <c r="V32" s="33"/>
      <c r="W32" s="33"/>
      <c r="X32" s="15"/>
      <c r="Y32" s="14"/>
      <c r="Z32" s="14"/>
      <c r="AA32" s="14"/>
      <c r="AB32" s="14"/>
      <c r="AC32" s="14"/>
      <c r="AD32" s="16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>
        <v>17</v>
      </c>
      <c r="B33" s="205" t="str">
        <f>_xlfn.IFNA(VLOOKUP(A33,'Construction Sheet'!$A$3:$D$50,2,FALSE), "")</f>
        <v>ø1" Millstar / OSG Bullmill</v>
      </c>
      <c r="C33" s="206"/>
      <c r="D33" s="206"/>
      <c r="E33" s="206"/>
      <c r="F33" s="207"/>
      <c r="G33" s="31" t="s">
        <v>194</v>
      </c>
      <c r="H33" s="31" t="s">
        <v>140</v>
      </c>
      <c r="I33" s="128" t="str">
        <f t="shared" si="0"/>
        <v>.002</v>
      </c>
      <c r="J33" s="124"/>
      <c r="K33" s="128" t="str">
        <f>IF($B33="","",IF($A33&gt;=1,IF($A33&lt;=33,VLOOKUP('Primary Operation 1'!$A33,'Construction Sheet'!$A$2:$F$35,5),""),""))</f>
        <v>Collet / Shrinkfit</v>
      </c>
      <c r="L33" s="124"/>
      <c r="M33" s="128" t="str">
        <f>IF($B33="","",IF($A33&gt;=1,IF($A33&lt;=33,VLOOKUP('Primary Operation 1'!$A33,'Construction Sheet'!$A$2:$F$35,6),""),""))</f>
        <v>Flood Coolant</v>
      </c>
      <c r="N33" s="124"/>
      <c r="O33" s="30" t="s">
        <v>207</v>
      </c>
      <c r="P33" s="122"/>
      <c r="Q33" s="123"/>
      <c r="R33" s="123"/>
      <c r="S33" s="124"/>
      <c r="T33" s="31"/>
      <c r="U33" s="31"/>
      <c r="V33" s="31"/>
      <c r="W33" s="31"/>
      <c r="X33" s="15"/>
      <c r="Y33" s="14"/>
      <c r="Z33" s="14"/>
      <c r="AA33" s="14"/>
      <c r="AB33" s="14"/>
      <c r="AC33" s="14"/>
      <c r="AD33" s="16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3">
        <v>11</v>
      </c>
      <c r="B34" s="199" t="str">
        <f>_xlfn.IFNA(VLOOKUP(A34,'Construction Sheet'!$A$3:$D$50,2,FALSE), "")</f>
        <v>ø3/8" Millstar / OSG Bullmill</v>
      </c>
      <c r="C34" s="200"/>
      <c r="D34" s="200"/>
      <c r="E34" s="200"/>
      <c r="F34" s="201"/>
      <c r="G34" s="33" t="s">
        <v>194</v>
      </c>
      <c r="H34" s="33" t="s">
        <v>126</v>
      </c>
      <c r="I34" s="127" t="str">
        <f t="shared" si="0"/>
        <v>.002</v>
      </c>
      <c r="J34" s="121"/>
      <c r="K34" s="127" t="str">
        <f>IF($B34="","",IF($A34&gt;=1,IF($A34&lt;=33,VLOOKUP('Primary Operation 1'!$A34,'Construction Sheet'!$A$2:$F$35,5),""),""))</f>
        <v>Collet / Shrinkfit</v>
      </c>
      <c r="L34" s="121"/>
      <c r="M34" s="127" t="str">
        <f>IF($B34="","",IF($A34&gt;=1,IF($A34&lt;=33,VLOOKUP('Primary Operation 1'!$A34,'Construction Sheet'!$A$2:$F$35,6),""),""))</f>
        <v>Flood Coolant</v>
      </c>
      <c r="N34" s="121"/>
      <c r="O34" s="32" t="s">
        <v>209</v>
      </c>
      <c r="P34" s="119"/>
      <c r="Q34" s="120"/>
      <c r="R34" s="120"/>
      <c r="S34" s="121"/>
      <c r="T34" s="33"/>
      <c r="U34" s="33"/>
      <c r="V34" s="33"/>
      <c r="W34" s="33"/>
      <c r="X34" s="15"/>
      <c r="Y34" s="14"/>
      <c r="Z34" s="14"/>
      <c r="AA34" s="14"/>
      <c r="AB34" s="14"/>
      <c r="AC34" s="14"/>
      <c r="AD34" s="16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05" t="str">
        <f>_xlfn.IFNA(VLOOKUP(A35,'Construction Sheet'!$A$3:$D$50,2,FALSE), "")</f>
        <v/>
      </c>
      <c r="C35" s="206"/>
      <c r="D35" s="206"/>
      <c r="E35" s="206"/>
      <c r="F35" s="207"/>
      <c r="G35" s="31" t="str">
        <f>_xlfn.IFNA(VLOOKUP(A35,'Construction Sheet'!$A$3:$D$50,3,FALSE),"")</f>
        <v/>
      </c>
      <c r="H35" s="31"/>
      <c r="I35" s="128" t="str">
        <f t="shared" si="0"/>
        <v/>
      </c>
      <c r="J35" s="124"/>
      <c r="K35" s="128" t="str">
        <f>IF($B35="","",IF($A35&gt;=1,IF($A35&lt;=33,VLOOKUP('Primary Operation 1'!$A35,'Construction Sheet'!$A$2:$F$35,5),""),""))</f>
        <v/>
      </c>
      <c r="L35" s="124"/>
      <c r="M35" s="128" t="str">
        <f>IF($B35="","",IF($A35&gt;=1,IF($A35&lt;=33,VLOOKUP('Primary Operation 1'!$A35,'Construction Sheet'!$A$2:$F$35,6),""),""))</f>
        <v/>
      </c>
      <c r="N35" s="124"/>
      <c r="O35" s="30"/>
      <c r="P35" s="122"/>
      <c r="Q35" s="123"/>
      <c r="R35" s="123"/>
      <c r="S35" s="124"/>
      <c r="T35" s="31"/>
      <c r="U35" s="31"/>
      <c r="V35" s="31"/>
      <c r="W35" s="31"/>
      <c r="X35" s="15"/>
      <c r="Y35" s="14"/>
      <c r="Z35" s="14"/>
      <c r="AA35" s="14"/>
      <c r="AB35" s="14"/>
      <c r="AC35" s="14"/>
      <c r="AD35" s="16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3"/>
      <c r="B36" s="199" t="str">
        <f>_xlfn.IFNA(VLOOKUP(A36,'Construction Sheet'!$A$3:$D$50,2,FALSE), "")</f>
        <v/>
      </c>
      <c r="C36" s="200"/>
      <c r="D36" s="200"/>
      <c r="E36" s="200"/>
      <c r="F36" s="201"/>
      <c r="G36" s="33" t="str">
        <f>_xlfn.IFNA(VLOOKUP(A36,'Construction Sheet'!$A$3:$D$50,3,FALSE),"")</f>
        <v/>
      </c>
      <c r="H36" s="33"/>
      <c r="I36" s="127" t="str">
        <f t="shared" si="0"/>
        <v/>
      </c>
      <c r="J36" s="121"/>
      <c r="K36" s="127" t="str">
        <f>IF($B36="","",IF($A36&gt;=1,IF($A36&lt;=33,VLOOKUP('Primary Operation 1'!$A36,'Construction Sheet'!$A$2:$F$35,5),""),""))</f>
        <v/>
      </c>
      <c r="L36" s="121"/>
      <c r="M36" s="127" t="str">
        <f>IF($B36="","",IF($A36&gt;=1,IF($A36&lt;=33,VLOOKUP('Primary Operation 1'!$A36,'Construction Sheet'!$A$2:$F$35,6),""),""))</f>
        <v/>
      </c>
      <c r="N36" s="121"/>
      <c r="O36" s="32"/>
      <c r="P36" s="119"/>
      <c r="Q36" s="120"/>
      <c r="R36" s="120"/>
      <c r="S36" s="121"/>
      <c r="T36" s="33"/>
      <c r="U36" s="33"/>
      <c r="V36" s="33"/>
      <c r="W36" s="33"/>
      <c r="X36" s="15"/>
      <c r="Y36" s="14"/>
      <c r="Z36" s="14"/>
      <c r="AA36" s="14"/>
      <c r="AB36" s="14"/>
      <c r="AC36" s="14"/>
      <c r="AD36" s="16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05" t="str">
        <f>_xlfn.IFNA(VLOOKUP(A37,'Construction Sheet'!$A$3:$D$50,2,FALSE), "")</f>
        <v/>
      </c>
      <c r="C37" s="206"/>
      <c r="D37" s="206"/>
      <c r="E37" s="206"/>
      <c r="F37" s="207"/>
      <c r="G37" s="31" t="str">
        <f>_xlfn.IFNA(VLOOKUP(A37,'Construction Sheet'!$A$3:$D$50,3,FALSE),"")</f>
        <v/>
      </c>
      <c r="H37" s="31"/>
      <c r="I37" s="128" t="str">
        <f t="shared" si="0"/>
        <v/>
      </c>
      <c r="J37" s="124"/>
      <c r="K37" s="128" t="str">
        <f>IF($B37="","",IF($A37&gt;=1,IF($A37&lt;=33,VLOOKUP('Primary Operation 1'!$A37,'Construction Sheet'!$A$2:$F$35,5),""),""))</f>
        <v/>
      </c>
      <c r="L37" s="124"/>
      <c r="M37" s="128" t="str">
        <f>IF($B37="","",IF($A37&gt;=1,IF($A37&lt;=33,VLOOKUP('Primary Operation 1'!$A37,'Construction Sheet'!$A$2:$F$35,6),""),""))</f>
        <v/>
      </c>
      <c r="N37" s="124"/>
      <c r="O37" s="30"/>
      <c r="P37" s="122"/>
      <c r="Q37" s="123"/>
      <c r="R37" s="123"/>
      <c r="S37" s="124"/>
      <c r="T37" s="31"/>
      <c r="U37" s="31"/>
      <c r="V37" s="31"/>
      <c r="W37" s="31"/>
      <c r="X37" s="15"/>
      <c r="Y37" s="14"/>
      <c r="Z37" s="14"/>
      <c r="AA37" s="14"/>
      <c r="AB37" s="14"/>
      <c r="AC37" s="14"/>
      <c r="AD37" s="16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3"/>
      <c r="B38" s="199" t="str">
        <f>_xlfn.IFNA(VLOOKUP(A38,'Construction Sheet'!$A$3:$D$50,2,FALSE), "")</f>
        <v/>
      </c>
      <c r="C38" s="200"/>
      <c r="D38" s="200"/>
      <c r="E38" s="200"/>
      <c r="F38" s="201"/>
      <c r="G38" s="33" t="str">
        <f>_xlfn.IFNA(VLOOKUP(A38,'Construction Sheet'!$A$3:$D$50,3,FALSE),"")</f>
        <v/>
      </c>
      <c r="H38" s="33"/>
      <c r="I38" s="127" t="str">
        <f t="shared" si="0"/>
        <v/>
      </c>
      <c r="J38" s="121"/>
      <c r="K38" s="127" t="str">
        <f>IF($B38="","",IF($A38&gt;=1,IF($A38&lt;=33,VLOOKUP('Primary Operation 1'!$A38,'Construction Sheet'!$A$2:$F$35,5),""),""))</f>
        <v/>
      </c>
      <c r="L38" s="121"/>
      <c r="M38" s="127" t="str">
        <f>IF($B38="","",IF($A38&gt;=1,IF($A38&lt;=33,VLOOKUP('Primary Operation 1'!$A38,'Construction Sheet'!$A$2:$F$35,6),""),""))</f>
        <v/>
      </c>
      <c r="N38" s="121"/>
      <c r="O38" s="32"/>
      <c r="P38" s="119"/>
      <c r="Q38" s="120"/>
      <c r="R38" s="120"/>
      <c r="S38" s="121"/>
      <c r="T38" s="33"/>
      <c r="U38" s="33"/>
      <c r="V38" s="33"/>
      <c r="W38" s="33"/>
      <c r="X38" s="15"/>
      <c r="Y38" s="14"/>
      <c r="Z38" s="14"/>
      <c r="AA38" s="14"/>
      <c r="AB38" s="14"/>
      <c r="AC38" s="14"/>
      <c r="AD38" s="16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05" t="str">
        <f>_xlfn.IFNA(VLOOKUP(A39,'Construction Sheet'!$A$3:$D$50,2,FALSE), "")</f>
        <v/>
      </c>
      <c r="C39" s="206"/>
      <c r="D39" s="206"/>
      <c r="E39" s="206"/>
      <c r="F39" s="207"/>
      <c r="G39" s="31" t="str">
        <f>_xlfn.IFNA(VLOOKUP(A39,'Construction Sheet'!$A$3:$D$50,3,FALSE),"")</f>
        <v/>
      </c>
      <c r="H39" s="31"/>
      <c r="I39" s="128" t="str">
        <f t="shared" si="0"/>
        <v/>
      </c>
      <c r="J39" s="124"/>
      <c r="K39" s="128" t="str">
        <f>IF($B39="","",IF($A39&gt;=1,IF($A39&lt;=33,VLOOKUP('Primary Operation 1'!$A39,'Construction Sheet'!$A$2:$F$35,5),""),""))</f>
        <v/>
      </c>
      <c r="L39" s="124"/>
      <c r="M39" s="128" t="str">
        <f>IF($B39="","",IF($A39&gt;=1,IF($A39&lt;=33,VLOOKUP('Primary Operation 1'!$A39,'Construction Sheet'!$A$2:$F$35,6),""),""))</f>
        <v/>
      </c>
      <c r="N39" s="124"/>
      <c r="O39" s="30"/>
      <c r="P39" s="122"/>
      <c r="Q39" s="123"/>
      <c r="R39" s="123"/>
      <c r="S39" s="124"/>
      <c r="T39" s="31"/>
      <c r="U39" s="31"/>
      <c r="V39" s="31"/>
      <c r="W39" s="31"/>
      <c r="X39" s="15"/>
      <c r="Y39" s="14"/>
      <c r="Z39" s="14"/>
      <c r="AA39" s="14"/>
      <c r="AB39" s="14"/>
      <c r="AC39" s="14"/>
      <c r="AD39" s="16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3"/>
      <c r="B40" s="199" t="str">
        <f>_xlfn.IFNA(VLOOKUP(A40,'Construction Sheet'!$A$3:$D$50,2,FALSE), "")</f>
        <v/>
      </c>
      <c r="C40" s="200"/>
      <c r="D40" s="200"/>
      <c r="E40" s="200"/>
      <c r="F40" s="201"/>
      <c r="G40" s="33" t="str">
        <f>_xlfn.IFNA(VLOOKUP(A40,'Construction Sheet'!$A$3:$D$50,3,FALSE),"")</f>
        <v/>
      </c>
      <c r="H40" s="33"/>
      <c r="I40" s="127" t="str">
        <f t="shared" si="0"/>
        <v/>
      </c>
      <c r="J40" s="121"/>
      <c r="K40" s="127" t="str">
        <f>IF($B40="","",IF($A40&gt;=1,IF($A40&lt;=33,VLOOKUP('Primary Operation 1'!$A40,'Construction Sheet'!$A$2:$F$35,5),""),""))</f>
        <v/>
      </c>
      <c r="L40" s="121"/>
      <c r="M40" s="127" t="str">
        <f>IF($B40="","",IF($A40&gt;=1,IF($A40&lt;=33,VLOOKUP('Primary Operation 1'!$A40,'Construction Sheet'!$A$2:$F$35,6),""),""))</f>
        <v/>
      </c>
      <c r="N40" s="121"/>
      <c r="O40" s="32"/>
      <c r="P40" s="119"/>
      <c r="Q40" s="120"/>
      <c r="R40" s="120"/>
      <c r="S40" s="121"/>
      <c r="T40" s="33"/>
      <c r="U40" s="33"/>
      <c r="V40" s="33"/>
      <c r="W40" s="33"/>
      <c r="X40" s="15"/>
      <c r="Y40" s="14"/>
      <c r="Z40" s="14"/>
      <c r="AA40" s="14"/>
      <c r="AB40" s="14"/>
      <c r="AC40" s="14"/>
      <c r="AD40" s="16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31"/>
      <c r="B41" s="205" t="str">
        <f>_xlfn.IFNA(VLOOKUP(A41,'Construction Sheet'!$A$3:$D$50,2,FALSE), "")</f>
        <v/>
      </c>
      <c r="C41" s="206"/>
      <c r="D41" s="206"/>
      <c r="E41" s="206"/>
      <c r="F41" s="207"/>
      <c r="G41" s="31" t="str">
        <f>_xlfn.IFNA(VLOOKUP(A41,'Construction Sheet'!$A$3:$D$50,3,FALSE),"")</f>
        <v/>
      </c>
      <c r="H41" s="31"/>
      <c r="I41" s="128" t="str">
        <f t="shared" si="0"/>
        <v/>
      </c>
      <c r="J41" s="124"/>
      <c r="K41" s="128" t="str">
        <f>IF($B41="","",IF($A41&gt;=1,IF($A41&lt;=33,VLOOKUP('Primary Operation 1'!$A41,'Construction Sheet'!$A$2:$F$35,5),""),""))</f>
        <v/>
      </c>
      <c r="L41" s="124"/>
      <c r="M41" s="128" t="str">
        <f>IF($B41="","",IF($A41&gt;=1,IF($A41&lt;=33,VLOOKUP('Primary Operation 1'!$A41,'Construction Sheet'!$A$2:$F$35,6),""),""))</f>
        <v/>
      </c>
      <c r="N41" s="124"/>
      <c r="O41" s="30"/>
      <c r="P41" s="122"/>
      <c r="Q41" s="123"/>
      <c r="R41" s="123"/>
      <c r="S41" s="124"/>
      <c r="T41" s="31"/>
      <c r="U41" s="31"/>
      <c r="V41" s="31"/>
      <c r="W41" s="31"/>
      <c r="X41" s="15"/>
      <c r="Y41" s="14"/>
      <c r="Z41" s="14"/>
      <c r="AA41" s="14"/>
      <c r="AB41" s="14"/>
      <c r="AC41" s="14"/>
      <c r="AD41" s="16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3"/>
      <c r="B42" s="199" t="str">
        <f>_xlfn.IFNA(VLOOKUP(A42,'Construction Sheet'!$A$3:$D$50,2,FALSE), "")</f>
        <v/>
      </c>
      <c r="C42" s="200"/>
      <c r="D42" s="200"/>
      <c r="E42" s="200"/>
      <c r="F42" s="201"/>
      <c r="G42" s="33" t="str">
        <f>_xlfn.IFNA(VLOOKUP(A42,'Construction Sheet'!$A$3:$D$50,3,FALSE),"")</f>
        <v/>
      </c>
      <c r="H42" s="33"/>
      <c r="I42" s="127" t="str">
        <f t="shared" si="0"/>
        <v/>
      </c>
      <c r="J42" s="121"/>
      <c r="K42" s="127" t="str">
        <f>IF($B42="","",IF($A42&gt;=1,IF($A42&lt;=33,VLOOKUP('Primary Operation 1'!$A42,'Construction Sheet'!$A$2:$F$35,5),""),""))</f>
        <v/>
      </c>
      <c r="L42" s="121"/>
      <c r="M42" s="127" t="str">
        <f>IF($B42="","",IF($A42&gt;=1,IF($A42&lt;=33,VLOOKUP('Primary Operation 1'!$A42,'Construction Sheet'!$A$2:$F$35,6),""),""))</f>
        <v/>
      </c>
      <c r="N42" s="121"/>
      <c r="O42" s="32"/>
      <c r="P42" s="119"/>
      <c r="Q42" s="120"/>
      <c r="R42" s="120"/>
      <c r="S42" s="121"/>
      <c r="T42" s="33"/>
      <c r="U42" s="33"/>
      <c r="V42" s="33"/>
      <c r="W42" s="33"/>
      <c r="X42" s="15"/>
      <c r="Y42" s="14"/>
      <c r="Z42" s="14"/>
      <c r="AA42" s="14"/>
      <c r="AB42" s="14"/>
      <c r="AC42" s="14"/>
      <c r="AD42" s="16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31"/>
      <c r="B43" s="205" t="str">
        <f>_xlfn.IFNA(VLOOKUP(A43,'Construction Sheet'!$A$3:$D$50,2,FALSE), "")</f>
        <v/>
      </c>
      <c r="C43" s="206"/>
      <c r="D43" s="206"/>
      <c r="E43" s="206"/>
      <c r="F43" s="207"/>
      <c r="G43" s="31" t="str">
        <f>_xlfn.IFNA(VLOOKUP(A43,'Construction Sheet'!$A$3:$D$50,3,FALSE),"")</f>
        <v/>
      </c>
      <c r="H43" s="31"/>
      <c r="I43" s="128" t="str">
        <f t="shared" si="0"/>
        <v/>
      </c>
      <c r="J43" s="124"/>
      <c r="K43" s="128" t="str">
        <f>IF($B43="","",IF($A43&gt;=1,IF($A43&lt;=33,VLOOKUP('Primary Operation 1'!$A43,'Construction Sheet'!$A$2:$F$35,5),""),""))</f>
        <v/>
      </c>
      <c r="L43" s="124"/>
      <c r="M43" s="128" t="str">
        <f>IF($B43="","",IF($A43&gt;=1,IF($A43&lt;=33,VLOOKUP('Primary Operation 1'!$A43,'Construction Sheet'!$A$2:$F$35,6),""),""))</f>
        <v/>
      </c>
      <c r="N43" s="124"/>
      <c r="O43" s="30"/>
      <c r="P43" s="122"/>
      <c r="Q43" s="123"/>
      <c r="R43" s="123"/>
      <c r="S43" s="124"/>
      <c r="T43" s="31"/>
      <c r="U43" s="31"/>
      <c r="V43" s="31"/>
      <c r="W43" s="31"/>
      <c r="X43" s="15"/>
      <c r="Y43" s="14"/>
      <c r="Z43" s="14"/>
      <c r="AA43" s="14"/>
      <c r="AB43" s="14"/>
      <c r="AC43" s="14"/>
      <c r="AD43" s="16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ht="15.75" thickBot="1" x14ac:dyDescent="0.3">
      <c r="A44" s="47"/>
      <c r="B44" s="208" t="str">
        <f>_xlfn.IFNA(VLOOKUP(A44,'Construction Sheet'!$A$3:$D$50,2,FALSE), "")</f>
        <v/>
      </c>
      <c r="C44" s="209"/>
      <c r="D44" s="209"/>
      <c r="E44" s="209"/>
      <c r="F44" s="210"/>
      <c r="G44" s="47" t="str">
        <f>_xlfn.IFNA(VLOOKUP(A44,'Construction Sheet'!$A$3:$D$50,3,FALSE),"")</f>
        <v/>
      </c>
      <c r="H44" s="47"/>
      <c r="I44" s="129" t="str">
        <f t="shared" si="0"/>
        <v/>
      </c>
      <c r="J44" s="130"/>
      <c r="K44" s="129" t="str">
        <f>IF($B44="","",IF($A44&gt;=1,IF($A44&lt;=33,VLOOKUP('Primary Operation 1'!$A44,'Construction Sheet'!$A$2:$F$35,5),""),""))</f>
        <v/>
      </c>
      <c r="L44" s="130"/>
      <c r="M44" s="129" t="str">
        <f>IF($B44="","",IF($A44&gt;=1,IF($A44&lt;=33,VLOOKUP('Primary Operation 1'!$A44,'Construction Sheet'!$A$2:$F$35,6),""),""))</f>
        <v/>
      </c>
      <c r="N44" s="130"/>
      <c r="O44" s="48"/>
      <c r="P44" s="131"/>
      <c r="Q44" s="132"/>
      <c r="R44" s="132"/>
      <c r="S44" s="130"/>
      <c r="T44" s="47"/>
      <c r="U44" s="47"/>
      <c r="V44" s="47"/>
      <c r="W44" s="47"/>
      <c r="X44" s="15"/>
      <c r="Y44" s="14"/>
      <c r="Z44" s="14"/>
      <c r="AA44" s="14"/>
      <c r="AB44" s="14"/>
      <c r="AC44" s="14"/>
      <c r="AD44" s="16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ht="15.75" thickBot="1" x14ac:dyDescent="0.3">
      <c r="A45" s="97" t="s">
        <v>53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9"/>
      <c r="T45" s="97" t="s">
        <v>54</v>
      </c>
      <c r="U45" s="99"/>
      <c r="V45" s="98" t="s">
        <v>55</v>
      </c>
      <c r="W45" s="99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</row>
    <row r="46" spans="1:46" ht="15" customHeight="1" x14ac:dyDescent="0.25">
      <c r="A46" s="91" t="s">
        <v>212</v>
      </c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3"/>
      <c r="T46" s="100"/>
      <c r="U46" s="101"/>
      <c r="V46" s="100"/>
      <c r="W46" s="101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</row>
    <row r="47" spans="1:46" ht="15" customHeight="1" x14ac:dyDescent="0.25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3"/>
      <c r="T47" s="100"/>
      <c r="U47" s="101"/>
      <c r="V47" s="100"/>
      <c r="W47" s="101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</row>
    <row r="48" spans="1:46" ht="15" customHeight="1" x14ac:dyDescent="0.25">
      <c r="A48" s="91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3"/>
      <c r="T48" s="100"/>
      <c r="U48" s="101"/>
      <c r="V48" s="100"/>
      <c r="W48" s="101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</row>
    <row r="49" spans="1:46" ht="15.75" customHeight="1" x14ac:dyDescent="0.25">
      <c r="A49" s="91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3"/>
      <c r="T49" s="100"/>
      <c r="U49" s="101"/>
      <c r="V49" s="100"/>
      <c r="W49" s="101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</row>
    <row r="50" spans="1:46" ht="15.75" customHeight="1" x14ac:dyDescent="0.25">
      <c r="A50" s="91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3"/>
      <c r="T50" s="100"/>
      <c r="U50" s="101"/>
      <c r="V50" s="100"/>
      <c r="W50" s="101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</row>
    <row r="51" spans="1:46" ht="15.75" customHeight="1" thickBot="1" x14ac:dyDescent="0.3">
      <c r="A51" s="94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102"/>
      <c r="U51" s="103"/>
      <c r="V51" s="102"/>
      <c r="W51" s="103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</row>
    <row r="52" spans="1:46" x14ac:dyDescent="0.25">
      <c r="A52" s="185" t="s">
        <v>190</v>
      </c>
      <c r="B52" s="185"/>
      <c r="C52" s="185"/>
      <c r="D52" s="78" t="str" cm="1">
        <f t="array" aca="1" ref="D52" ca="1">MID(CELL("filename",A1),FIND("[",CELL("filename",A1))+1,FIND(".xlsm",CELL("filename",A1))-FIND("[",CELL("filename",A1))-1)</f>
        <v>import_test</v>
      </c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 t="str">
        <f>IF(ISBLANK(Cover!D6),"",Cover!D6)</f>
        <v>26-0099</v>
      </c>
      <c r="V52" s="78"/>
      <c r="W52" s="78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</sheetData>
  <sheetProtection selectLockedCells="1"/>
  <mergeCells count="172">
    <mergeCell ref="J17:K17"/>
    <mergeCell ref="J18:K18"/>
    <mergeCell ref="J19:K19"/>
    <mergeCell ref="J20:K20"/>
    <mergeCell ref="B31:F31"/>
    <mergeCell ref="B32:F32"/>
    <mergeCell ref="B43:F43"/>
    <mergeCell ref="B44:F44"/>
    <mergeCell ref="K43:L43"/>
    <mergeCell ref="K44:L44"/>
    <mergeCell ref="B37:F37"/>
    <mergeCell ref="B38:F38"/>
    <mergeCell ref="B39:F39"/>
    <mergeCell ref="B40:F40"/>
    <mergeCell ref="I37:J37"/>
    <mergeCell ref="I38:J38"/>
    <mergeCell ref="I39:J39"/>
    <mergeCell ref="B41:F41"/>
    <mergeCell ref="B42:F42"/>
    <mergeCell ref="B33:F33"/>
    <mergeCell ref="B34:F34"/>
    <mergeCell ref="B35:F35"/>
    <mergeCell ref="B36:F36"/>
    <mergeCell ref="K35:L35"/>
    <mergeCell ref="A14:L14"/>
    <mergeCell ref="A21:J21"/>
    <mergeCell ref="B29:F29"/>
    <mergeCell ref="A28:O28"/>
    <mergeCell ref="B30:F30"/>
    <mergeCell ref="J15:K15"/>
    <mergeCell ref="J16:K16"/>
    <mergeCell ref="E13:F13"/>
    <mergeCell ref="B13:D13"/>
    <mergeCell ref="A16:B16"/>
    <mergeCell ref="A17:B17"/>
    <mergeCell ref="A18:B18"/>
    <mergeCell ref="A19:B19"/>
    <mergeCell ref="A20:B20"/>
    <mergeCell ref="J27:K27"/>
    <mergeCell ref="C17:I17"/>
    <mergeCell ref="C18:I18"/>
    <mergeCell ref="C19:I19"/>
    <mergeCell ref="C20:I20"/>
    <mergeCell ref="I29:J29"/>
    <mergeCell ref="J25:K25"/>
    <mergeCell ref="H26:I26"/>
    <mergeCell ref="J26:K26"/>
    <mergeCell ref="H27:I27"/>
    <mergeCell ref="G5:H5"/>
    <mergeCell ref="I12:J12"/>
    <mergeCell ref="I10:J10"/>
    <mergeCell ref="K10:L10"/>
    <mergeCell ref="I11:J11"/>
    <mergeCell ref="E12:H12"/>
    <mergeCell ref="B12:D12"/>
    <mergeCell ref="E11:H11"/>
    <mergeCell ref="G13:L13"/>
    <mergeCell ref="U52:W52"/>
    <mergeCell ref="K29:L29"/>
    <mergeCell ref="M3:W3"/>
    <mergeCell ref="M26:W27"/>
    <mergeCell ref="K8:L8"/>
    <mergeCell ref="K9:L9"/>
    <mergeCell ref="I8:J8"/>
    <mergeCell ref="I9:J9"/>
    <mergeCell ref="J23:K23"/>
    <mergeCell ref="J22:K22"/>
    <mergeCell ref="J24:K24"/>
    <mergeCell ref="I30:J30"/>
    <mergeCell ref="I31:J31"/>
    <mergeCell ref="A3:L3"/>
    <mergeCell ref="B8:D8"/>
    <mergeCell ref="B9:D9"/>
    <mergeCell ref="M4:W25"/>
    <mergeCell ref="A4:B4"/>
    <mergeCell ref="B7:D7"/>
    <mergeCell ref="K4:L4"/>
    <mergeCell ref="C4:F4"/>
    <mergeCell ref="G4:H4"/>
    <mergeCell ref="A52:C52"/>
    <mergeCell ref="D52:T52"/>
    <mergeCell ref="A1:W2"/>
    <mergeCell ref="H22:I22"/>
    <mergeCell ref="H23:I23"/>
    <mergeCell ref="H24:I24"/>
    <mergeCell ref="H25:I25"/>
    <mergeCell ref="I4:J4"/>
    <mergeCell ref="E7:H7"/>
    <mergeCell ref="E8:H8"/>
    <mergeCell ref="E9:H9"/>
    <mergeCell ref="E10:H10"/>
    <mergeCell ref="K7:L7"/>
    <mergeCell ref="A15:B15"/>
    <mergeCell ref="C15:I15"/>
    <mergeCell ref="C16:I16"/>
    <mergeCell ref="K12:L12"/>
    <mergeCell ref="K11:L11"/>
    <mergeCell ref="C5:F5"/>
    <mergeCell ref="A5:B5"/>
    <mergeCell ref="I7:J7"/>
    <mergeCell ref="A6:L6"/>
    <mergeCell ref="B10:D10"/>
    <mergeCell ref="B11:D11"/>
    <mergeCell ref="I5:J5"/>
    <mergeCell ref="K5:L5"/>
    <mergeCell ref="P28:W28"/>
    <mergeCell ref="I40:J40"/>
    <mergeCell ref="I41:J41"/>
    <mergeCell ref="M31:N31"/>
    <mergeCell ref="M32:N32"/>
    <mergeCell ref="M40:N40"/>
    <mergeCell ref="M41:N41"/>
    <mergeCell ref="P29:S29"/>
    <mergeCell ref="I34:J34"/>
    <mergeCell ref="K33:L33"/>
    <mergeCell ref="I32:J32"/>
    <mergeCell ref="I33:J33"/>
    <mergeCell ref="I35:J35"/>
    <mergeCell ref="I36:J36"/>
    <mergeCell ref="M35:N35"/>
    <mergeCell ref="K36:L36"/>
    <mergeCell ref="M36:N36"/>
    <mergeCell ref="K37:L37"/>
    <mergeCell ref="M37:N37"/>
    <mergeCell ref="K38:L38"/>
    <mergeCell ref="M38:N38"/>
    <mergeCell ref="K39:L39"/>
    <mergeCell ref="M39:N39"/>
    <mergeCell ref="V45:W45"/>
    <mergeCell ref="T45:U45"/>
    <mergeCell ref="I42:J42"/>
    <mergeCell ref="I43:J43"/>
    <mergeCell ref="I44:J44"/>
    <mergeCell ref="K30:L30"/>
    <mergeCell ref="K31:L31"/>
    <mergeCell ref="K32:L32"/>
    <mergeCell ref="K40:L40"/>
    <mergeCell ref="K41:L41"/>
    <mergeCell ref="K42:L42"/>
    <mergeCell ref="M33:N33"/>
    <mergeCell ref="K34:L34"/>
    <mergeCell ref="M34:N34"/>
    <mergeCell ref="P42:S42"/>
    <mergeCell ref="P43:S43"/>
    <mergeCell ref="P44:S44"/>
    <mergeCell ref="M43:N43"/>
    <mergeCell ref="M44:N44"/>
    <mergeCell ref="M42:N42"/>
    <mergeCell ref="A46:S51"/>
    <mergeCell ref="A45:S45"/>
    <mergeCell ref="T46:U51"/>
    <mergeCell ref="V46:W51"/>
    <mergeCell ref="B22:F22"/>
    <mergeCell ref="B23:F23"/>
    <mergeCell ref="B24:F24"/>
    <mergeCell ref="B25:F25"/>
    <mergeCell ref="B26:F26"/>
    <mergeCell ref="B27:F27"/>
    <mergeCell ref="P30:S30"/>
    <mergeCell ref="P31:S31"/>
    <mergeCell ref="P32:S32"/>
    <mergeCell ref="P33:S33"/>
    <mergeCell ref="P34:S34"/>
    <mergeCell ref="P35:S35"/>
    <mergeCell ref="P36:S36"/>
    <mergeCell ref="P37:S37"/>
    <mergeCell ref="P38:S38"/>
    <mergeCell ref="P39:S39"/>
    <mergeCell ref="P40:S40"/>
    <mergeCell ref="P41:S41"/>
    <mergeCell ref="M29:N29"/>
    <mergeCell ref="M30:N30"/>
  </mergeCells>
  <conditionalFormatting sqref="I30:I44">
    <cfRule type="notContainsText" dxfId="42" priority="9" operator="notContains" text="N/A">
      <formula>ISERROR(SEARCH("N/A",I30))</formula>
    </cfRule>
  </conditionalFormatting>
  <conditionalFormatting sqref="G30:G44">
    <cfRule type="expression" dxfId="41" priority="2">
      <formula>AND(IF($A30&gt;10,1),IF($A30&lt;18,1),IF($G30=".015",1))</formula>
    </cfRule>
    <cfRule type="expression" dxfId="40" priority="5">
      <formula>AND(IF($A30&gt;10,1),IF($A30&lt;18,1),IF($G30=".015r",1))</formula>
    </cfRule>
  </conditionalFormatting>
  <conditionalFormatting sqref="T46 V46">
    <cfRule type="notContainsText" dxfId="39" priority="3" operator="notContains" text="N/A">
      <formula>ISERROR(SEARCH("N/A",T46))</formula>
    </cfRule>
    <cfRule type="containsText" dxfId="38" priority="4" operator="containsText" text="N/A">
      <formula>NOT(ISERROR(SEARCH("N/A",T46)))</formula>
    </cfRule>
  </conditionalFormatting>
  <pageMargins left="0" right="0" top="0" bottom="0" header="0.3" footer="0.3"/>
  <pageSetup paperSize="17" orientation="landscape" r:id="rId1"/>
  <ignoredErrors>
    <ignoredError sqref="G30 B11:D12 M30:N30 C30:F30 B32:F44 B30 G35:L44 I34:L34 I30:L30 G32 I32:L32 I33:L33 M32:N4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100-000000000000}">
          <x14:formula1>
            <xm:f>'Construction Sheet'!$G$2:$G$4</xm:f>
          </x14:formula1>
          <xm:sqref>B13</xm:sqref>
        </x14:dataValidation>
        <x14:dataValidation type="list" allowBlank="1" xr:uid="{00000000-0002-0000-0100-000001000000}">
          <x14:formula1>
            <xm:f>'Construction Sheet'!$I$2:$I$5</xm:f>
          </x14:formula1>
          <xm:sqref>G5</xm:sqref>
        </x14:dataValidation>
        <x14:dataValidation type="list" allowBlank="1" xr:uid="{00000000-0002-0000-0100-000002000000}">
          <x14:formula1>
            <xm:f>'Construction Sheet'!$K$2:$K$3</xm:f>
          </x14:formula1>
          <xm:sqref>B8:B9</xm:sqref>
        </x14:dataValidation>
        <x14:dataValidation type="list" allowBlank="1" xr:uid="{00000000-0002-0000-0100-000003000000}">
          <x14:formula1>
            <xm:f>'Construction Sheet'!$L$2:$L$4</xm:f>
          </x14:formula1>
          <xm:sqref>B10</xm:sqref>
        </x14:dataValidation>
        <x14:dataValidation type="list" allowBlank="1" xr:uid="{00000000-0002-0000-0100-000004000000}">
          <x14:formula1>
            <xm:f>'Construction Sheet'!$H$2:$H$5</xm:f>
          </x14:formula1>
          <xm:sqref>A5:B5</xm:sqref>
        </x14:dataValidation>
        <x14:dataValidation type="list" allowBlank="1" showInputMessage="1" xr:uid="{00000000-0002-0000-0100-000005000000}">
          <x14:formula1>
            <xm:f>'Construction Sheet'!$K$22</xm:f>
          </x14:formula1>
          <xm:sqref>I5:J5</xm:sqref>
        </x14:dataValidation>
        <x14:dataValidation type="list" allowBlank="1" xr:uid="{00000000-0002-0000-0100-000006000000}">
          <x14:formula1>
            <xm:f>'Construction Sheet'!$M$2:$M$3</xm:f>
          </x14:formula1>
          <xm:sqref>B11:D11</xm:sqref>
        </x14:dataValidation>
        <x14:dataValidation type="list" allowBlank="1" xr:uid="{00000000-0002-0000-0100-000007000000}">
          <x14:formula1>
            <xm:f>'Construction Sheet'!$N$2</xm:f>
          </x14:formula1>
          <xm:sqref>B12:D12</xm:sqref>
        </x14:dataValidation>
        <x14:dataValidation type="list" allowBlank="1" showInputMessage="1" xr:uid="{00000000-0002-0000-0100-000008000000}">
          <x14:formula1>
            <xm:f>'Construction Sheet'!$H$32:$H$38</xm:f>
          </x14:formula1>
          <xm:sqref>K30:L44</xm:sqref>
        </x14:dataValidation>
        <x14:dataValidation type="list" allowBlank="1" showInputMessage="1" xr:uid="{00000000-0002-0000-0100-000009000000}">
          <x14:formula1>
            <xm:f>'Construction Sheet'!$I$32:$I$36</xm:f>
          </x14:formula1>
          <xm:sqref>M30:N44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/>
  </sheetPr>
  <dimension ref="A1:AT52"/>
  <sheetViews>
    <sheetView view="pageLayout" zoomScaleNormal="100" workbookViewId="0">
      <selection activeCell="A45" sqref="A45:S45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46" ht="12.75" customHeight="1" x14ac:dyDescent="0.25">
      <c r="A1" s="138" t="s">
        <v>56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5" customHeight="1" thickBot="1" x14ac:dyDescent="0.3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5.75" thickBot="1" x14ac:dyDescent="0.3">
      <c r="A3" s="165" t="s">
        <v>12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5"/>
      <c r="M3" s="165" t="s">
        <v>13</v>
      </c>
      <c r="N3" s="134"/>
      <c r="O3" s="134"/>
      <c r="P3" s="134"/>
      <c r="Q3" s="134"/>
      <c r="R3" s="134"/>
      <c r="S3" s="134"/>
      <c r="T3" s="134"/>
      <c r="U3" s="134"/>
      <c r="V3" s="134"/>
      <c r="W3" s="135"/>
      <c r="X3" s="12"/>
      <c r="Y3" s="13"/>
      <c r="Z3" s="13"/>
      <c r="AA3" s="13"/>
      <c r="AB3" s="13"/>
      <c r="AC3" s="13"/>
      <c r="AD3" s="12"/>
      <c r="AE3" s="13"/>
      <c r="AF3" s="13"/>
      <c r="AG3" s="13"/>
      <c r="AH3" s="13"/>
      <c r="AI3" s="13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8" t="s">
        <v>14</v>
      </c>
      <c r="B4" s="184"/>
      <c r="C4" s="148" t="s">
        <v>15</v>
      </c>
      <c r="D4" s="184"/>
      <c r="E4" s="184"/>
      <c r="F4" s="149"/>
      <c r="G4" s="148" t="s">
        <v>16</v>
      </c>
      <c r="H4" s="149"/>
      <c r="I4" s="148" t="s">
        <v>17</v>
      </c>
      <c r="J4" s="149"/>
      <c r="K4" s="148" t="s">
        <v>18</v>
      </c>
      <c r="L4" s="184"/>
      <c r="M4" s="178"/>
      <c r="N4" s="179"/>
      <c r="O4" s="179"/>
      <c r="P4" s="179"/>
      <c r="Q4" s="179"/>
      <c r="R4" s="179"/>
      <c r="S4" s="179"/>
      <c r="T4" s="179"/>
      <c r="U4" s="179"/>
      <c r="V4" s="179"/>
      <c r="W4" s="180"/>
      <c r="X4" s="15"/>
      <c r="Y4" s="14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.75" thickBot="1" x14ac:dyDescent="0.3">
      <c r="A5" s="160" t="s">
        <v>204</v>
      </c>
      <c r="B5" s="161"/>
      <c r="C5" s="157" t="s">
        <v>196</v>
      </c>
      <c r="D5" s="158"/>
      <c r="E5" s="158"/>
      <c r="F5" s="159"/>
      <c r="G5" s="160" t="s">
        <v>86</v>
      </c>
      <c r="H5" s="161"/>
      <c r="I5" s="160" t="s">
        <v>197</v>
      </c>
      <c r="J5" s="161"/>
      <c r="K5" s="160" t="s">
        <v>217</v>
      </c>
      <c r="L5" s="164"/>
      <c r="M5" s="181"/>
      <c r="N5" s="182"/>
      <c r="O5" s="182"/>
      <c r="P5" s="182"/>
      <c r="Q5" s="182"/>
      <c r="R5" s="182"/>
      <c r="S5" s="182"/>
      <c r="T5" s="182"/>
      <c r="U5" s="182"/>
      <c r="V5" s="182"/>
      <c r="W5" s="183"/>
      <c r="X5" s="15"/>
      <c r="Y5" s="14"/>
      <c r="Z5" s="14"/>
      <c r="AA5" s="14"/>
      <c r="AB5" s="14"/>
      <c r="AC5" s="14"/>
      <c r="AD5" s="16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ht="15.75" thickBot="1" x14ac:dyDescent="0.3">
      <c r="A6" s="162" t="s">
        <v>19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81"/>
      <c r="N6" s="182"/>
      <c r="O6" s="182"/>
      <c r="P6" s="182"/>
      <c r="Q6" s="182"/>
      <c r="R6" s="182"/>
      <c r="S6" s="182"/>
      <c r="T6" s="182"/>
      <c r="U6" s="182"/>
      <c r="V6" s="182"/>
      <c r="W6" s="183"/>
      <c r="X6" s="15"/>
      <c r="Y6" s="14"/>
      <c r="Z6" s="14"/>
      <c r="AA6" s="14"/>
      <c r="AB6" s="14"/>
      <c r="AC6" s="14"/>
      <c r="AD6" s="16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ht="15.75" thickBot="1" x14ac:dyDescent="0.3">
      <c r="A7" s="7" t="s">
        <v>20</v>
      </c>
      <c r="B7" s="140" t="s">
        <v>21</v>
      </c>
      <c r="C7" s="150"/>
      <c r="D7" s="141"/>
      <c r="E7" s="140" t="s">
        <v>22</v>
      </c>
      <c r="F7" s="150"/>
      <c r="G7" s="150"/>
      <c r="H7" s="141"/>
      <c r="I7" s="140" t="s">
        <v>23</v>
      </c>
      <c r="J7" s="141"/>
      <c r="K7" s="140" t="s">
        <v>24</v>
      </c>
      <c r="L7" s="150"/>
      <c r="M7" s="181"/>
      <c r="N7" s="182"/>
      <c r="O7" s="182"/>
      <c r="P7" s="182"/>
      <c r="Q7" s="182"/>
      <c r="R7" s="182"/>
      <c r="S7" s="182"/>
      <c r="T7" s="182"/>
      <c r="U7" s="182"/>
      <c r="V7" s="182"/>
      <c r="W7" s="183"/>
      <c r="X7" s="15"/>
      <c r="Y7" s="14"/>
      <c r="Z7" s="14"/>
      <c r="AA7" s="14"/>
      <c r="AB7" s="14"/>
      <c r="AC7" s="14"/>
      <c r="AD7" s="16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24" t="s">
        <v>25</v>
      </c>
      <c r="B8" s="175" t="s">
        <v>218</v>
      </c>
      <c r="C8" s="176"/>
      <c r="D8" s="177"/>
      <c r="E8" s="142"/>
      <c r="F8" s="151"/>
      <c r="G8" s="151"/>
      <c r="H8" s="143"/>
      <c r="I8" s="142"/>
      <c r="J8" s="173"/>
      <c r="K8" s="172"/>
      <c r="L8" s="143"/>
      <c r="M8" s="181"/>
      <c r="N8" s="182"/>
      <c r="O8" s="182"/>
      <c r="P8" s="182"/>
      <c r="Q8" s="182"/>
      <c r="R8" s="182"/>
      <c r="S8" s="182"/>
      <c r="T8" s="182"/>
      <c r="U8" s="182"/>
      <c r="V8" s="182"/>
      <c r="W8" s="183"/>
      <c r="X8" s="15"/>
      <c r="Y8" s="14"/>
      <c r="Z8" s="14"/>
      <c r="AA8" s="14"/>
      <c r="AB8" s="14"/>
      <c r="AC8" s="14"/>
      <c r="AD8" s="16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3" t="s">
        <v>26</v>
      </c>
      <c r="B9" s="128" t="s">
        <v>219</v>
      </c>
      <c r="C9" s="123"/>
      <c r="D9" s="124"/>
      <c r="E9" s="144"/>
      <c r="F9" s="152"/>
      <c r="G9" s="152"/>
      <c r="H9" s="145"/>
      <c r="I9" s="144"/>
      <c r="J9" s="174"/>
      <c r="K9" s="156"/>
      <c r="L9" s="145"/>
      <c r="M9" s="181"/>
      <c r="N9" s="182"/>
      <c r="O9" s="182"/>
      <c r="P9" s="182"/>
      <c r="Q9" s="182"/>
      <c r="R9" s="182"/>
      <c r="S9" s="182"/>
      <c r="T9" s="182"/>
      <c r="U9" s="182"/>
      <c r="V9" s="182"/>
      <c r="W9" s="183"/>
      <c r="X9" s="15"/>
      <c r="Y9" s="14"/>
      <c r="Z9" s="14"/>
      <c r="AA9" s="14"/>
      <c r="AB9" s="14"/>
      <c r="AC9" s="14"/>
      <c r="AD9" s="16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8" t="s">
        <v>27</v>
      </c>
      <c r="B10" s="127" t="s">
        <v>220</v>
      </c>
      <c r="C10" s="120"/>
      <c r="D10" s="121"/>
      <c r="E10" s="146"/>
      <c r="F10" s="153"/>
      <c r="G10" s="153"/>
      <c r="H10" s="147"/>
      <c r="I10" s="146"/>
      <c r="J10" s="188"/>
      <c r="K10" s="189"/>
      <c r="L10" s="147"/>
      <c r="M10" s="181"/>
      <c r="N10" s="182"/>
      <c r="O10" s="182"/>
      <c r="P10" s="182"/>
      <c r="Q10" s="182"/>
      <c r="R10" s="182"/>
      <c r="S10" s="182"/>
      <c r="T10" s="182"/>
      <c r="U10" s="182"/>
      <c r="V10" s="182"/>
      <c r="W10" s="183"/>
      <c r="X10" s="15"/>
      <c r="Y10" s="14"/>
      <c r="Z10" s="14"/>
      <c r="AA10" s="14"/>
      <c r="AB10" s="14"/>
      <c r="AC10" s="14"/>
      <c r="AD10" s="16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3" t="s">
        <v>28</v>
      </c>
      <c r="B11" s="128" t="str" cm="1">
        <f t="array" ref="B11">_xlfn.IFS(G5="VMC","N/A",G5="HBMX","",G5="Lathe","N/A",G5="VMC / Rotary A","",G5="","")</f>
        <v>N/A</v>
      </c>
      <c r="C11" s="123"/>
      <c r="D11" s="124"/>
      <c r="E11" s="144"/>
      <c r="F11" s="152"/>
      <c r="G11" s="152"/>
      <c r="H11" s="145"/>
      <c r="I11" s="144"/>
      <c r="J11" s="174"/>
      <c r="K11" s="156"/>
      <c r="L11" s="145"/>
      <c r="M11" s="181"/>
      <c r="N11" s="182"/>
      <c r="O11" s="182"/>
      <c r="P11" s="182"/>
      <c r="Q11" s="182"/>
      <c r="R11" s="182"/>
      <c r="S11" s="182"/>
      <c r="T11" s="182"/>
      <c r="U11" s="182"/>
      <c r="V11" s="182"/>
      <c r="W11" s="183"/>
      <c r="X11" s="15"/>
      <c r="Y11" s="14"/>
      <c r="Z11" s="14"/>
      <c r="AA11" s="14"/>
      <c r="AB11" s="14"/>
      <c r="AC11" s="14"/>
      <c r="AD11" s="16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ht="15.75" thickBot="1" x14ac:dyDescent="0.3">
      <c r="A12" s="25" t="s">
        <v>29</v>
      </c>
      <c r="B12" s="191" t="str" cm="1">
        <f t="array" ref="B12">_xlfn.IFS(G5="VMC","N/A",G5="HBMX","",G5="Lathe","N/A",G5="VMC / Rotary A","N/A",G5="","")</f>
        <v>N/A</v>
      </c>
      <c r="C12" s="192"/>
      <c r="D12" s="193"/>
      <c r="E12" s="186"/>
      <c r="F12" s="190"/>
      <c r="G12" s="190"/>
      <c r="H12" s="155"/>
      <c r="I12" s="186"/>
      <c r="J12" s="187"/>
      <c r="K12" s="154"/>
      <c r="L12" s="155"/>
      <c r="M12" s="181"/>
      <c r="N12" s="182"/>
      <c r="O12" s="182"/>
      <c r="P12" s="182"/>
      <c r="Q12" s="182"/>
      <c r="R12" s="182"/>
      <c r="S12" s="182"/>
      <c r="T12" s="182"/>
      <c r="U12" s="182"/>
      <c r="V12" s="182"/>
      <c r="W12" s="183"/>
      <c r="X12" s="15"/>
      <c r="Y12" s="14"/>
      <c r="Z12" s="14"/>
      <c r="AA12" s="14"/>
      <c r="AB12" s="14"/>
      <c r="AC12" s="14"/>
      <c r="AD12" s="16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ht="15.75" thickBot="1" x14ac:dyDescent="0.3">
      <c r="A13" s="7" t="s">
        <v>30</v>
      </c>
      <c r="B13" s="194" t="s">
        <v>84</v>
      </c>
      <c r="C13" s="195"/>
      <c r="D13" s="204"/>
      <c r="E13" s="202" t="s">
        <v>31</v>
      </c>
      <c r="F13" s="203"/>
      <c r="G13" s="194" t="s">
        <v>213</v>
      </c>
      <c r="H13" s="195"/>
      <c r="I13" s="195"/>
      <c r="J13" s="195"/>
      <c r="K13" s="195"/>
      <c r="L13" s="195"/>
      <c r="M13" s="181"/>
      <c r="N13" s="182"/>
      <c r="O13" s="182"/>
      <c r="P13" s="182"/>
      <c r="Q13" s="182"/>
      <c r="R13" s="182"/>
      <c r="S13" s="182"/>
      <c r="T13" s="182"/>
      <c r="U13" s="182"/>
      <c r="V13" s="182"/>
      <c r="W13" s="183"/>
      <c r="X13" s="15"/>
      <c r="Y13" s="14"/>
      <c r="Z13" s="14"/>
      <c r="AA13" s="14"/>
      <c r="AB13" s="14"/>
      <c r="AC13" s="14"/>
      <c r="AD13" s="16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ht="15.75" thickBot="1" x14ac:dyDescent="0.3">
      <c r="A14" s="165" t="s">
        <v>32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5"/>
      <c r="M14" s="181"/>
      <c r="N14" s="182"/>
      <c r="O14" s="182"/>
      <c r="P14" s="182"/>
      <c r="Q14" s="182"/>
      <c r="R14" s="182"/>
      <c r="S14" s="182"/>
      <c r="T14" s="182"/>
      <c r="U14" s="182"/>
      <c r="V14" s="182"/>
      <c r="W14" s="183"/>
      <c r="X14" s="15"/>
      <c r="Y14" s="14"/>
      <c r="Z14" s="14"/>
      <c r="AA14" s="14"/>
      <c r="AB14" s="14"/>
      <c r="AC14" s="14"/>
      <c r="AD14" s="16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ht="15.75" thickBot="1" x14ac:dyDescent="0.3">
      <c r="A15" s="140" t="s">
        <v>17</v>
      </c>
      <c r="B15" s="141"/>
      <c r="C15" s="150" t="s">
        <v>33</v>
      </c>
      <c r="D15" s="150"/>
      <c r="E15" s="150"/>
      <c r="F15" s="150"/>
      <c r="G15" s="150"/>
      <c r="H15" s="150"/>
      <c r="I15" s="141"/>
      <c r="J15" s="104" t="s">
        <v>34</v>
      </c>
      <c r="K15" s="106"/>
      <c r="L15" s="22" t="s">
        <v>35</v>
      </c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3"/>
      <c r="X15" s="15"/>
      <c r="Y15" s="14"/>
      <c r="Z15" s="14"/>
      <c r="AA15" s="14"/>
      <c r="AB15" s="14"/>
      <c r="AC15" s="14"/>
      <c r="AD15" s="16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2"/>
      <c r="B16" s="143"/>
      <c r="C16" s="151"/>
      <c r="D16" s="151"/>
      <c r="E16" s="151"/>
      <c r="F16" s="151"/>
      <c r="G16" s="151"/>
      <c r="H16" s="151"/>
      <c r="I16" s="143"/>
      <c r="J16" s="107"/>
      <c r="K16" s="109"/>
      <c r="L16" s="6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3"/>
      <c r="X16" s="15"/>
      <c r="Y16" s="14"/>
      <c r="Z16" s="14"/>
      <c r="AA16" s="14"/>
      <c r="AB16" s="14"/>
      <c r="AC16" s="14"/>
      <c r="AD16" s="16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4"/>
      <c r="B17" s="145"/>
      <c r="C17" s="152"/>
      <c r="D17" s="152"/>
      <c r="E17" s="152"/>
      <c r="F17" s="152"/>
      <c r="G17" s="152"/>
      <c r="H17" s="152"/>
      <c r="I17" s="145"/>
      <c r="J17" s="110"/>
      <c r="K17" s="112"/>
      <c r="L17" s="4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3"/>
      <c r="X17" s="15"/>
      <c r="Y17" s="14"/>
      <c r="Z17" s="14"/>
      <c r="AA17" s="14"/>
      <c r="AB17" s="14"/>
      <c r="AC17" s="14"/>
      <c r="AD17" s="16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146"/>
      <c r="B18" s="147"/>
      <c r="C18" s="153"/>
      <c r="D18" s="153"/>
      <c r="E18" s="153"/>
      <c r="F18" s="153"/>
      <c r="G18" s="153"/>
      <c r="H18" s="153"/>
      <c r="I18" s="147"/>
      <c r="J18" s="113"/>
      <c r="K18" s="115"/>
      <c r="L18" s="5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3"/>
      <c r="X18" s="15"/>
      <c r="Y18" s="14"/>
      <c r="Z18" s="14"/>
      <c r="AA18" s="14"/>
      <c r="AB18" s="14"/>
      <c r="AC18" s="14"/>
      <c r="AD18" s="16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144"/>
      <c r="B19" s="145"/>
      <c r="C19" s="152"/>
      <c r="D19" s="152"/>
      <c r="E19" s="152"/>
      <c r="F19" s="152"/>
      <c r="G19" s="152"/>
      <c r="H19" s="152"/>
      <c r="I19" s="145"/>
      <c r="J19" s="110"/>
      <c r="K19" s="112"/>
      <c r="L19" s="4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3"/>
      <c r="X19" s="15"/>
      <c r="Y19" s="14"/>
      <c r="Z19" s="14"/>
      <c r="AA19" s="14"/>
      <c r="AB19" s="14"/>
      <c r="AC19" s="14"/>
      <c r="AD19" s="16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ht="15.75" thickBot="1" x14ac:dyDescent="0.3">
      <c r="A20" s="146"/>
      <c r="B20" s="147"/>
      <c r="C20" s="153"/>
      <c r="D20" s="153"/>
      <c r="E20" s="153"/>
      <c r="F20" s="153"/>
      <c r="G20" s="153"/>
      <c r="H20" s="153"/>
      <c r="I20" s="147"/>
      <c r="J20" s="113"/>
      <c r="K20" s="115"/>
      <c r="L20" s="5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3"/>
      <c r="X20" s="15"/>
      <c r="Y20" s="14"/>
      <c r="Z20" s="14"/>
      <c r="AA20" s="14"/>
      <c r="AB20" s="14"/>
      <c r="AC20" s="14"/>
      <c r="AD20" s="16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5.75" thickBot="1" x14ac:dyDescent="0.3">
      <c r="A21" s="162" t="s">
        <v>36</v>
      </c>
      <c r="B21" s="196"/>
      <c r="C21" s="196"/>
      <c r="D21" s="196"/>
      <c r="E21" s="196"/>
      <c r="F21" s="196"/>
      <c r="G21" s="163"/>
      <c r="H21" s="163"/>
      <c r="I21" s="163"/>
      <c r="J21" s="197"/>
      <c r="K21" s="49"/>
      <c r="L21" s="50"/>
      <c r="M21" s="181"/>
      <c r="N21" s="182"/>
      <c r="O21" s="182"/>
      <c r="P21" s="182"/>
      <c r="Q21" s="182"/>
      <c r="R21" s="182"/>
      <c r="S21" s="182"/>
      <c r="T21" s="182"/>
      <c r="U21" s="182"/>
      <c r="V21" s="182"/>
      <c r="W21" s="183"/>
      <c r="X21" s="15"/>
      <c r="Y21" s="14"/>
      <c r="Z21" s="14"/>
      <c r="AA21" s="14"/>
      <c r="AB21" s="14"/>
      <c r="AC21" s="14"/>
      <c r="AD21" s="16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ht="15.75" thickBot="1" x14ac:dyDescent="0.3">
      <c r="A22" s="40" t="s">
        <v>37</v>
      </c>
      <c r="B22" s="104" t="s">
        <v>17</v>
      </c>
      <c r="C22" s="105"/>
      <c r="D22" s="105"/>
      <c r="E22" s="105"/>
      <c r="F22" s="106"/>
      <c r="G22" s="43" t="s">
        <v>38</v>
      </c>
      <c r="H22" s="140" t="s">
        <v>39</v>
      </c>
      <c r="I22" s="141"/>
      <c r="J22" s="140" t="s">
        <v>34</v>
      </c>
      <c r="K22" s="141"/>
      <c r="L22" s="41" t="s">
        <v>35</v>
      </c>
      <c r="M22" s="181"/>
      <c r="N22" s="182"/>
      <c r="O22" s="182"/>
      <c r="P22" s="182"/>
      <c r="Q22" s="182"/>
      <c r="R22" s="182"/>
      <c r="S22" s="182"/>
      <c r="T22" s="182"/>
      <c r="U22" s="182"/>
      <c r="V22" s="182"/>
      <c r="W22" s="183"/>
      <c r="X22" s="15"/>
      <c r="Y22" s="14"/>
      <c r="Z22" s="14"/>
      <c r="AA22" s="14"/>
      <c r="AB22" s="14"/>
      <c r="AC22" s="14"/>
      <c r="AD22" s="16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26">
        <v>1</v>
      </c>
      <c r="B23" s="107"/>
      <c r="C23" s="108"/>
      <c r="D23" s="108"/>
      <c r="E23" s="108"/>
      <c r="F23" s="109"/>
      <c r="G23" s="34"/>
      <c r="H23" s="142"/>
      <c r="I23" s="143"/>
      <c r="J23" s="142"/>
      <c r="K23" s="143"/>
      <c r="L23" s="51"/>
      <c r="M23" s="181"/>
      <c r="N23" s="182"/>
      <c r="O23" s="182"/>
      <c r="P23" s="182"/>
      <c r="Q23" s="182"/>
      <c r="R23" s="182"/>
      <c r="S23" s="182"/>
      <c r="T23" s="182"/>
      <c r="U23" s="182"/>
      <c r="V23" s="182"/>
      <c r="W23" s="183"/>
      <c r="X23" s="15"/>
      <c r="Y23" s="14"/>
      <c r="Z23" s="14"/>
      <c r="AA23" s="14"/>
      <c r="AB23" s="14"/>
      <c r="AC23" s="14"/>
      <c r="AD23" s="16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27">
        <v>2</v>
      </c>
      <c r="B24" s="110"/>
      <c r="C24" s="111"/>
      <c r="D24" s="111"/>
      <c r="E24" s="111"/>
      <c r="F24" s="112"/>
      <c r="G24" s="44"/>
      <c r="H24" s="144"/>
      <c r="I24" s="145"/>
      <c r="J24" s="144"/>
      <c r="K24" s="145"/>
      <c r="L24" s="42"/>
      <c r="M24" s="181"/>
      <c r="N24" s="182"/>
      <c r="O24" s="182"/>
      <c r="P24" s="182"/>
      <c r="Q24" s="182"/>
      <c r="R24" s="182"/>
      <c r="S24" s="182"/>
      <c r="T24" s="182"/>
      <c r="U24" s="182"/>
      <c r="V24" s="182"/>
      <c r="W24" s="183"/>
      <c r="X24" s="15"/>
      <c r="Y24" s="14"/>
      <c r="Z24" s="14"/>
      <c r="AA24" s="14"/>
      <c r="AB24" s="14"/>
      <c r="AC24" s="14"/>
      <c r="AD24" s="16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28">
        <v>3</v>
      </c>
      <c r="B25" s="113"/>
      <c r="C25" s="114"/>
      <c r="D25" s="114"/>
      <c r="E25" s="114"/>
      <c r="F25" s="115"/>
      <c r="G25" s="38"/>
      <c r="H25" s="146"/>
      <c r="I25" s="147"/>
      <c r="J25" s="146"/>
      <c r="K25" s="147"/>
      <c r="L25" s="39"/>
      <c r="M25" s="181"/>
      <c r="N25" s="182"/>
      <c r="O25" s="182"/>
      <c r="P25" s="182"/>
      <c r="Q25" s="182"/>
      <c r="R25" s="182"/>
      <c r="S25" s="182"/>
      <c r="T25" s="182"/>
      <c r="U25" s="182"/>
      <c r="V25" s="182"/>
      <c r="W25" s="183"/>
      <c r="X25" s="15"/>
      <c r="Y25" s="14"/>
      <c r="Z25" s="14"/>
      <c r="AA25" s="14"/>
      <c r="AB25" s="14"/>
      <c r="AC25" s="14"/>
      <c r="AD25" s="16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ht="15" customHeight="1" x14ac:dyDescent="0.25">
      <c r="A26" s="27">
        <v>4</v>
      </c>
      <c r="B26" s="110"/>
      <c r="C26" s="111"/>
      <c r="D26" s="111"/>
      <c r="E26" s="111"/>
      <c r="F26" s="112"/>
      <c r="G26" s="44"/>
      <c r="H26" s="144"/>
      <c r="I26" s="145"/>
      <c r="J26" s="144"/>
      <c r="K26" s="145"/>
      <c r="L26" s="42"/>
      <c r="M26" s="166" t="s">
        <v>40</v>
      </c>
      <c r="N26" s="167"/>
      <c r="O26" s="167"/>
      <c r="P26" s="167"/>
      <c r="Q26" s="167"/>
      <c r="R26" s="167"/>
      <c r="S26" s="167"/>
      <c r="T26" s="167"/>
      <c r="U26" s="167"/>
      <c r="V26" s="167"/>
      <c r="W26" s="168"/>
      <c r="X26" s="15"/>
      <c r="Y26" s="14"/>
      <c r="Z26" s="14"/>
      <c r="AA26" s="14"/>
      <c r="AB26" s="14"/>
      <c r="AC26" s="14"/>
      <c r="AD26" s="16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ht="15.75" customHeight="1" thickBot="1" x14ac:dyDescent="0.3">
      <c r="A27" s="29">
        <v>5</v>
      </c>
      <c r="B27" s="116"/>
      <c r="C27" s="117"/>
      <c r="D27" s="117"/>
      <c r="E27" s="117"/>
      <c r="F27" s="118"/>
      <c r="G27" s="46"/>
      <c r="H27" s="186"/>
      <c r="I27" s="155"/>
      <c r="J27" s="186"/>
      <c r="K27" s="155"/>
      <c r="L27" s="45"/>
      <c r="M27" s="169"/>
      <c r="N27" s="170"/>
      <c r="O27" s="170"/>
      <c r="P27" s="170"/>
      <c r="Q27" s="170"/>
      <c r="R27" s="170"/>
      <c r="S27" s="170"/>
      <c r="T27" s="170"/>
      <c r="U27" s="170"/>
      <c r="V27" s="170"/>
      <c r="W27" s="171"/>
      <c r="X27" s="15"/>
      <c r="Y27" s="14"/>
      <c r="Z27" s="14"/>
      <c r="AA27" s="14"/>
      <c r="AB27" s="14"/>
      <c r="AC27" s="14"/>
      <c r="AD27" s="16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ht="15.75" thickBot="1" x14ac:dyDescent="0.3">
      <c r="A28" s="165" t="s">
        <v>41</v>
      </c>
      <c r="B28" s="198"/>
      <c r="C28" s="198"/>
      <c r="D28" s="198"/>
      <c r="E28" s="198"/>
      <c r="F28" s="198"/>
      <c r="G28" s="134"/>
      <c r="H28" s="134"/>
      <c r="I28" s="134"/>
      <c r="J28" s="134"/>
      <c r="K28" s="134"/>
      <c r="L28" s="134"/>
      <c r="M28" s="134"/>
      <c r="N28" s="134"/>
      <c r="O28" s="134"/>
      <c r="P28" s="133" t="s">
        <v>42</v>
      </c>
      <c r="Q28" s="134"/>
      <c r="R28" s="134"/>
      <c r="S28" s="134"/>
      <c r="T28" s="134"/>
      <c r="U28" s="134"/>
      <c r="V28" s="134"/>
      <c r="W28" s="135"/>
      <c r="X28" s="15"/>
      <c r="Y28" s="14"/>
      <c r="Z28" s="14"/>
      <c r="AA28" s="14"/>
      <c r="AB28" s="14"/>
      <c r="AC28" s="14"/>
      <c r="AD28" s="16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6" t="s">
        <v>38</v>
      </c>
      <c r="B29" s="178" t="s">
        <v>43</v>
      </c>
      <c r="C29" s="179"/>
      <c r="D29" s="179"/>
      <c r="E29" s="179"/>
      <c r="F29" s="180"/>
      <c r="G29" s="35" t="s">
        <v>44</v>
      </c>
      <c r="H29" s="36" t="s">
        <v>45</v>
      </c>
      <c r="I29" s="125" t="s">
        <v>46</v>
      </c>
      <c r="J29" s="126"/>
      <c r="K29" s="125" t="s">
        <v>47</v>
      </c>
      <c r="L29" s="126"/>
      <c r="M29" s="125" t="s">
        <v>48</v>
      </c>
      <c r="N29" s="126"/>
      <c r="O29" s="10" t="s">
        <v>49</v>
      </c>
      <c r="P29" s="136" t="s">
        <v>50</v>
      </c>
      <c r="Q29" s="137"/>
      <c r="R29" s="137"/>
      <c r="S29" s="126"/>
      <c r="T29" s="36" t="s">
        <v>51</v>
      </c>
      <c r="U29" s="36" t="s">
        <v>52</v>
      </c>
      <c r="V29" s="36" t="s">
        <v>35</v>
      </c>
      <c r="W29" s="35" t="s">
        <v>24</v>
      </c>
      <c r="X29" s="15"/>
      <c r="Y29" s="14"/>
      <c r="Z29" s="14"/>
      <c r="AA29" s="14"/>
      <c r="AB29" s="14"/>
      <c r="AC29" s="14"/>
      <c r="AD29" s="16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3">
        <v>9</v>
      </c>
      <c r="B30" s="199" t="str">
        <f>_xlfn.IFNA(VLOOKUP(A30,'Construction Sheet'!$A$3:$D$50,2,FALSE), "")</f>
        <v>ø2" Mitsubishi AJX Feedmill</v>
      </c>
      <c r="C30" s="200"/>
      <c r="D30" s="200"/>
      <c r="E30" s="200"/>
      <c r="F30" s="201"/>
      <c r="G30" s="33" t="str">
        <f>_xlfn.IFNA(VLOOKUP(A30,'Construction Sheet'!$A$3:$D$50,3,FALSE),"")</f>
        <v>.118r</v>
      </c>
      <c r="H30" s="33" t="s">
        <v>94</v>
      </c>
      <c r="I30" s="127" t="str">
        <f>IF($B30="","",IF(10&lt;$A30,IF($A30&lt;18,".002","N/A"),"N/A"))</f>
        <v>N/A</v>
      </c>
      <c r="J30" s="121"/>
      <c r="K30" s="127" t="str">
        <f>IF($B30="","",IF($A30&gt;=1,IF($A30&lt;=33,VLOOKUP('Primary Operation 2'!$A30,'Construction Sheet'!$A$2:$F$35,5),""),""))</f>
        <v>Arbor</v>
      </c>
      <c r="L30" s="121"/>
      <c r="M30" s="127" t="str">
        <f>IF($B30="","",IF($A30&gt;=1,IF($A30&lt;=33,VLOOKUP('Primary Operation 2'!$A30,'Construction Sheet'!$A$2:$F$35,6),""),""))</f>
        <v>Air Blast</v>
      </c>
      <c r="N30" s="121"/>
      <c r="O30" s="32" t="s">
        <v>215</v>
      </c>
      <c r="P30" s="119"/>
      <c r="Q30" s="120"/>
      <c r="R30" s="120"/>
      <c r="S30" s="121"/>
      <c r="T30" s="33"/>
      <c r="U30" s="33"/>
      <c r="V30" s="33"/>
      <c r="W30" s="33"/>
      <c r="X30" s="15"/>
      <c r="Y30" s="14"/>
      <c r="Z30" s="14"/>
      <c r="AA30" s="14"/>
      <c r="AB30" s="14"/>
      <c r="AC30" s="14"/>
      <c r="AD30" s="16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ht="15" customHeight="1" x14ac:dyDescent="0.25">
      <c r="A31" s="31">
        <v>17</v>
      </c>
      <c r="B31" s="205" t="str">
        <f>_xlfn.IFNA(VLOOKUP(A31,'Construction Sheet'!$A$3:$D$50,2,FALSE), "")</f>
        <v>ø1" Millstar / OSG Bullmill</v>
      </c>
      <c r="C31" s="206"/>
      <c r="D31" s="206"/>
      <c r="E31" s="206"/>
      <c r="F31" s="207"/>
      <c r="G31" s="31" t="s">
        <v>194</v>
      </c>
      <c r="H31" s="31" t="s">
        <v>140</v>
      </c>
      <c r="I31" s="128" t="str">
        <f t="shared" ref="I31:I44" si="0">IF($B31="","",IF(10&lt;$A31,IF($A31&lt;18,".002","N/A"),"N/A"))</f>
        <v>.002</v>
      </c>
      <c r="J31" s="124"/>
      <c r="K31" s="128" t="str">
        <f>IF($B31="","",IF($A31&gt;=1,IF($A31&lt;=33,VLOOKUP('Primary Operation 2'!$A31,'Construction Sheet'!$A$2:$F$35,5),""),""))</f>
        <v>Collet / Shrinkfit</v>
      </c>
      <c r="L31" s="124"/>
      <c r="M31" s="128" t="str">
        <f>IF($B31="","",IF($A31&gt;=1,IF($A31&lt;=33,VLOOKUP('Primary Operation 2'!$A31,'Construction Sheet'!$A$2:$F$35,6),""),""))</f>
        <v>Flood Coolant</v>
      </c>
      <c r="N31" s="124"/>
      <c r="O31" s="30" t="s">
        <v>216</v>
      </c>
      <c r="P31" s="122"/>
      <c r="Q31" s="123"/>
      <c r="R31" s="123"/>
      <c r="S31" s="124"/>
      <c r="T31" s="31"/>
      <c r="U31" s="31"/>
      <c r="V31" s="31"/>
      <c r="W31" s="31"/>
      <c r="X31" s="15"/>
      <c r="Y31" s="14"/>
      <c r="Z31" s="14"/>
      <c r="AA31" s="14"/>
      <c r="AB31" s="14"/>
      <c r="AC31" s="14"/>
      <c r="AD31" s="16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3">
        <v>11</v>
      </c>
      <c r="B32" s="199" t="str">
        <f>_xlfn.IFNA(VLOOKUP(A32,'Construction Sheet'!$A$3:$D$50,2,FALSE), "")</f>
        <v>ø3/8" Millstar / OSG Bullmill</v>
      </c>
      <c r="C32" s="200"/>
      <c r="D32" s="200"/>
      <c r="E32" s="200"/>
      <c r="F32" s="201"/>
      <c r="G32" s="33" t="s">
        <v>194</v>
      </c>
      <c r="H32" s="33" t="s">
        <v>126</v>
      </c>
      <c r="I32" s="127" t="str">
        <f t="shared" si="0"/>
        <v>.002</v>
      </c>
      <c r="J32" s="121"/>
      <c r="K32" s="127" t="str">
        <f>IF($B32="","",IF($A32&gt;=1,IF($A32&lt;=33,VLOOKUP('Primary Operation 2'!$A32,'Construction Sheet'!$A$2:$F$35,5),""),""))</f>
        <v>Collet / Shrinkfit</v>
      </c>
      <c r="L32" s="121"/>
      <c r="M32" s="127" t="str">
        <f>IF($B32="","",IF($A32&gt;=1,IF($A32&lt;=33,VLOOKUP('Primary Operation 2'!$A32,'Construction Sheet'!$A$2:$F$35,6),""),""))</f>
        <v>Flood Coolant</v>
      </c>
      <c r="N32" s="121"/>
      <c r="O32" s="32" t="s">
        <v>208</v>
      </c>
      <c r="P32" s="119"/>
      <c r="Q32" s="120"/>
      <c r="R32" s="120"/>
      <c r="S32" s="121"/>
      <c r="T32" s="33"/>
      <c r="U32" s="33"/>
      <c r="V32" s="33"/>
      <c r="W32" s="33"/>
      <c r="X32" s="15"/>
      <c r="Y32" s="14"/>
      <c r="Z32" s="14"/>
      <c r="AA32" s="14"/>
      <c r="AB32" s="14"/>
      <c r="AC32" s="14"/>
      <c r="AD32" s="16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>
        <v>19</v>
      </c>
      <c r="B33" s="205" t="str">
        <f>_xlfn.IFNA(VLOOKUP(A33,'Construction Sheet'!$A$3:$D$50,2,FALSE), "")</f>
        <v>ø.315 Mitubishi Chamfer Mill</v>
      </c>
      <c r="C33" s="206"/>
      <c r="D33" s="206"/>
      <c r="E33" s="206"/>
      <c r="F33" s="207"/>
      <c r="G33" s="31" t="str">
        <f>_xlfn.IFNA(VLOOKUP(A33,'Construction Sheet'!$A$3:$D$50,3,FALSE),"")</f>
        <v>N/A</v>
      </c>
      <c r="H33" s="31" t="s">
        <v>214</v>
      </c>
      <c r="I33" s="128" t="str">
        <f t="shared" si="0"/>
        <v>N/A</v>
      </c>
      <c r="J33" s="124"/>
      <c r="K33" s="128" t="str">
        <f>IF($B33="","",IF($A33&gt;=1,IF($A33&lt;=33,VLOOKUP('Primary Operation 2'!$A33,'Construction Sheet'!$A$2:$F$35,5),""),""))</f>
        <v>Weldon / Collet</v>
      </c>
      <c r="L33" s="124"/>
      <c r="M33" s="128" t="str">
        <f>IF($B33="","",IF($A33&gt;=1,IF($A33&lt;=33,VLOOKUP('Primary Operation 2'!$A33,'Construction Sheet'!$A$2:$F$35,6),""),""))</f>
        <v>Air Blast</v>
      </c>
      <c r="N33" s="124"/>
      <c r="O33" s="30" t="s">
        <v>208</v>
      </c>
      <c r="P33" s="122"/>
      <c r="Q33" s="123"/>
      <c r="R33" s="123"/>
      <c r="S33" s="124"/>
      <c r="T33" s="31"/>
      <c r="U33" s="31"/>
      <c r="V33" s="31"/>
      <c r="W33" s="31"/>
      <c r="X33" s="15"/>
      <c r="Y33" s="14"/>
      <c r="Z33" s="14"/>
      <c r="AA33" s="14"/>
      <c r="AB33" s="14"/>
      <c r="AC33" s="14"/>
      <c r="AD33" s="16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3"/>
      <c r="B34" s="199" t="str">
        <f>_xlfn.IFNA(VLOOKUP(A34,'Construction Sheet'!$A$3:$D$50,2,FALSE), "")</f>
        <v/>
      </c>
      <c r="C34" s="200"/>
      <c r="D34" s="200"/>
      <c r="E34" s="200"/>
      <c r="F34" s="201"/>
      <c r="G34" s="33" t="str">
        <f>_xlfn.IFNA(VLOOKUP(A34,'Construction Sheet'!$A$3:$D$50,3,FALSE),"")</f>
        <v/>
      </c>
      <c r="H34" s="33"/>
      <c r="I34" s="127" t="str">
        <f t="shared" si="0"/>
        <v/>
      </c>
      <c r="J34" s="121"/>
      <c r="K34" s="127" t="str">
        <f>IF($B34="","",IF($A34&gt;=1,IF($A34&lt;=33,VLOOKUP('Primary Operation 2'!$A34,'Construction Sheet'!$A$2:$F$35,5),""),""))</f>
        <v/>
      </c>
      <c r="L34" s="121"/>
      <c r="M34" s="127" t="str">
        <f>IF($B34="","",IF($A34&gt;=1,IF($A34&lt;=33,VLOOKUP('Primary Operation 2'!$A34,'Construction Sheet'!$A$2:$F$35,6),""),""))</f>
        <v/>
      </c>
      <c r="N34" s="121"/>
      <c r="O34" s="32"/>
      <c r="P34" s="119"/>
      <c r="Q34" s="120"/>
      <c r="R34" s="120"/>
      <c r="S34" s="121"/>
      <c r="T34" s="33"/>
      <c r="U34" s="33"/>
      <c r="V34" s="33"/>
      <c r="W34" s="33"/>
      <c r="X34" s="15"/>
      <c r="Y34" s="14"/>
      <c r="Z34" s="14"/>
      <c r="AA34" s="14"/>
      <c r="AB34" s="14"/>
      <c r="AC34" s="14"/>
      <c r="AD34" s="16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05" t="str">
        <f>_xlfn.IFNA(VLOOKUP(A35,'Construction Sheet'!$A$3:$D$50,2,FALSE), "")</f>
        <v/>
      </c>
      <c r="C35" s="206"/>
      <c r="D35" s="206"/>
      <c r="E35" s="206"/>
      <c r="F35" s="207"/>
      <c r="G35" s="31" t="str">
        <f>_xlfn.IFNA(VLOOKUP(A35,'Construction Sheet'!$A$3:$D$50,3,FALSE),"")</f>
        <v/>
      </c>
      <c r="H35" s="31"/>
      <c r="I35" s="128" t="str">
        <f t="shared" si="0"/>
        <v/>
      </c>
      <c r="J35" s="124"/>
      <c r="K35" s="128" t="str">
        <f>IF($B35="","",IF($A35&gt;=1,IF($A35&lt;=33,VLOOKUP('Primary Operation 2'!$A35,'Construction Sheet'!$A$2:$F$35,5),""),""))</f>
        <v/>
      </c>
      <c r="L35" s="124"/>
      <c r="M35" s="128" t="str">
        <f>IF($B35="","",IF($A35&gt;=1,IF($A35&lt;=33,VLOOKUP('Primary Operation 2'!$A35,'Construction Sheet'!$A$2:$F$35,6),""),""))</f>
        <v/>
      </c>
      <c r="N35" s="124"/>
      <c r="O35" s="30"/>
      <c r="P35" s="122"/>
      <c r="Q35" s="123"/>
      <c r="R35" s="123"/>
      <c r="S35" s="124"/>
      <c r="T35" s="31"/>
      <c r="U35" s="31"/>
      <c r="V35" s="31"/>
      <c r="W35" s="31"/>
      <c r="X35" s="15"/>
      <c r="Y35" s="14"/>
      <c r="Z35" s="14"/>
      <c r="AA35" s="14"/>
      <c r="AB35" s="14"/>
      <c r="AC35" s="14"/>
      <c r="AD35" s="16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3"/>
      <c r="B36" s="199" t="str">
        <f>_xlfn.IFNA(VLOOKUP(A36,'Construction Sheet'!$A$3:$D$50,2,FALSE), "")</f>
        <v/>
      </c>
      <c r="C36" s="200"/>
      <c r="D36" s="200"/>
      <c r="E36" s="200"/>
      <c r="F36" s="201"/>
      <c r="G36" s="33" t="str">
        <f>_xlfn.IFNA(VLOOKUP(A36,'Construction Sheet'!$A$3:$D$50,3,FALSE),"")</f>
        <v/>
      </c>
      <c r="H36" s="33"/>
      <c r="I36" s="127" t="str">
        <f t="shared" si="0"/>
        <v/>
      </c>
      <c r="J36" s="121"/>
      <c r="K36" s="127" t="str">
        <f>IF($B36="","",IF($A36&gt;=1,IF($A36&lt;=33,VLOOKUP('Primary Operation 2'!$A36,'Construction Sheet'!$A$2:$F$35,5),""),""))</f>
        <v/>
      </c>
      <c r="L36" s="121"/>
      <c r="M36" s="127" t="str">
        <f>IF($B36="","",IF($A36&gt;=1,IF($A36&lt;=33,VLOOKUP('Primary Operation 2'!$A36,'Construction Sheet'!$A$2:$F$35,6),""),""))</f>
        <v/>
      </c>
      <c r="N36" s="121"/>
      <c r="O36" s="32"/>
      <c r="P36" s="119"/>
      <c r="Q36" s="120"/>
      <c r="R36" s="120"/>
      <c r="S36" s="121"/>
      <c r="T36" s="33"/>
      <c r="U36" s="33"/>
      <c r="V36" s="33"/>
      <c r="W36" s="33"/>
      <c r="X36" s="15"/>
      <c r="Y36" s="14"/>
      <c r="Z36" s="14"/>
      <c r="AA36" s="14"/>
      <c r="AB36" s="14"/>
      <c r="AC36" s="14"/>
      <c r="AD36" s="16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05" t="str">
        <f>_xlfn.IFNA(VLOOKUP(A37,'Construction Sheet'!$A$3:$D$50,2,FALSE), "")</f>
        <v/>
      </c>
      <c r="C37" s="206"/>
      <c r="D37" s="206"/>
      <c r="E37" s="206"/>
      <c r="F37" s="207"/>
      <c r="G37" s="31" t="str">
        <f>_xlfn.IFNA(VLOOKUP(A37,'Construction Sheet'!$A$3:$D$50,3,FALSE),"")</f>
        <v/>
      </c>
      <c r="H37" s="31"/>
      <c r="I37" s="128" t="str">
        <f t="shared" si="0"/>
        <v/>
      </c>
      <c r="J37" s="124"/>
      <c r="K37" s="128" t="str">
        <f>IF($B37="","",IF($A37&gt;=1,IF($A37&lt;=33,VLOOKUP('Primary Operation 2'!$A37,'Construction Sheet'!$A$2:$F$35,5),""),""))</f>
        <v/>
      </c>
      <c r="L37" s="124"/>
      <c r="M37" s="128" t="str">
        <f>IF($B37="","",IF($A37&gt;=1,IF($A37&lt;=33,VLOOKUP('Primary Operation 2'!$A37,'Construction Sheet'!$A$2:$F$35,6),""),""))</f>
        <v/>
      </c>
      <c r="N37" s="124"/>
      <c r="O37" s="30"/>
      <c r="P37" s="122"/>
      <c r="Q37" s="123"/>
      <c r="R37" s="123"/>
      <c r="S37" s="124"/>
      <c r="T37" s="31"/>
      <c r="U37" s="31"/>
      <c r="V37" s="31"/>
      <c r="W37" s="31"/>
      <c r="X37" s="15"/>
      <c r="Y37" s="14"/>
      <c r="Z37" s="14"/>
      <c r="AA37" s="14"/>
      <c r="AB37" s="14"/>
      <c r="AC37" s="14"/>
      <c r="AD37" s="16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3"/>
      <c r="B38" s="199" t="str">
        <f>_xlfn.IFNA(VLOOKUP(A38,'Construction Sheet'!$A$3:$D$50,2,FALSE), "")</f>
        <v/>
      </c>
      <c r="C38" s="200"/>
      <c r="D38" s="200"/>
      <c r="E38" s="200"/>
      <c r="F38" s="201"/>
      <c r="G38" s="33" t="str">
        <f>_xlfn.IFNA(VLOOKUP(A38,'Construction Sheet'!$A$3:$D$50,3,FALSE),"")</f>
        <v/>
      </c>
      <c r="H38" s="33"/>
      <c r="I38" s="127" t="str">
        <f t="shared" si="0"/>
        <v/>
      </c>
      <c r="J38" s="121"/>
      <c r="K38" s="127" t="str">
        <f>IF($B38="","",IF($A38&gt;=1,IF($A38&lt;=33,VLOOKUP('Primary Operation 2'!$A38,'Construction Sheet'!$A$2:$F$35,5),""),""))</f>
        <v/>
      </c>
      <c r="L38" s="121"/>
      <c r="M38" s="127" t="str">
        <f>IF($B38="","",IF($A38&gt;=1,IF($A38&lt;=33,VLOOKUP('Primary Operation 2'!$A38,'Construction Sheet'!$A$2:$F$35,6),""),""))</f>
        <v/>
      </c>
      <c r="N38" s="121"/>
      <c r="O38" s="32"/>
      <c r="P38" s="119"/>
      <c r="Q38" s="120"/>
      <c r="R38" s="120"/>
      <c r="S38" s="121"/>
      <c r="T38" s="33"/>
      <c r="U38" s="33"/>
      <c r="V38" s="33"/>
      <c r="W38" s="33"/>
      <c r="X38" s="15"/>
      <c r="Y38" s="14"/>
      <c r="Z38" s="14"/>
      <c r="AA38" s="14"/>
      <c r="AB38" s="14"/>
      <c r="AC38" s="14"/>
      <c r="AD38" s="16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05" t="str">
        <f>_xlfn.IFNA(VLOOKUP(A39,'Construction Sheet'!$A$3:$D$50,2,FALSE), "")</f>
        <v/>
      </c>
      <c r="C39" s="206"/>
      <c r="D39" s="206"/>
      <c r="E39" s="206"/>
      <c r="F39" s="207"/>
      <c r="G39" s="31" t="str">
        <f>_xlfn.IFNA(VLOOKUP(A39,'Construction Sheet'!$A$3:$D$50,3,FALSE),"")</f>
        <v/>
      </c>
      <c r="H39" s="31"/>
      <c r="I39" s="128" t="str">
        <f t="shared" si="0"/>
        <v/>
      </c>
      <c r="J39" s="124"/>
      <c r="K39" s="128" t="str">
        <f>IF($B39="","",IF($A39&gt;=1,IF($A39&lt;=33,VLOOKUP('Primary Operation 2'!$A39,'Construction Sheet'!$A$2:$F$35,5),""),""))</f>
        <v/>
      </c>
      <c r="L39" s="124"/>
      <c r="M39" s="128" t="str">
        <f>IF($B39="","",IF($A39&gt;=1,IF($A39&lt;=33,VLOOKUP('Primary Operation 2'!$A39,'Construction Sheet'!$A$2:$F$35,6),""),""))</f>
        <v/>
      </c>
      <c r="N39" s="124"/>
      <c r="O39" s="30"/>
      <c r="P39" s="122"/>
      <c r="Q39" s="123"/>
      <c r="R39" s="123"/>
      <c r="S39" s="124"/>
      <c r="T39" s="31"/>
      <c r="U39" s="31"/>
      <c r="V39" s="31"/>
      <c r="W39" s="31"/>
      <c r="X39" s="15"/>
      <c r="Y39" s="14"/>
      <c r="Z39" s="14"/>
      <c r="AA39" s="14"/>
      <c r="AB39" s="14"/>
      <c r="AC39" s="14"/>
      <c r="AD39" s="16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3"/>
      <c r="B40" s="199" t="str">
        <f>_xlfn.IFNA(VLOOKUP(A40,'Construction Sheet'!$A$3:$D$50,2,FALSE), "")</f>
        <v/>
      </c>
      <c r="C40" s="200"/>
      <c r="D40" s="200"/>
      <c r="E40" s="200"/>
      <c r="F40" s="201"/>
      <c r="G40" s="33" t="str">
        <f>_xlfn.IFNA(VLOOKUP(A40,'Construction Sheet'!$A$3:$D$50,3,FALSE),"")</f>
        <v/>
      </c>
      <c r="H40" s="33"/>
      <c r="I40" s="127" t="str">
        <f t="shared" si="0"/>
        <v/>
      </c>
      <c r="J40" s="121"/>
      <c r="K40" s="127" t="str">
        <f>IF($B40="","",IF($A40&gt;=1,IF($A40&lt;=33,VLOOKUP('Primary Operation 2'!$A40,'Construction Sheet'!$A$2:$F$35,5),""),""))</f>
        <v/>
      </c>
      <c r="L40" s="121"/>
      <c r="M40" s="127" t="str">
        <f>IF($B40="","",IF($A40&gt;=1,IF($A40&lt;=33,VLOOKUP('Primary Operation 2'!$A40,'Construction Sheet'!$A$2:$F$35,6),""),""))</f>
        <v/>
      </c>
      <c r="N40" s="121"/>
      <c r="O40" s="32"/>
      <c r="P40" s="119"/>
      <c r="Q40" s="120"/>
      <c r="R40" s="120"/>
      <c r="S40" s="121"/>
      <c r="T40" s="33"/>
      <c r="U40" s="33"/>
      <c r="V40" s="33"/>
      <c r="W40" s="33"/>
      <c r="X40" s="15"/>
      <c r="Y40" s="14"/>
      <c r="Z40" s="14"/>
      <c r="AA40" s="14"/>
      <c r="AB40" s="14"/>
      <c r="AC40" s="14"/>
      <c r="AD40" s="16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31"/>
      <c r="B41" s="205" t="str">
        <f>_xlfn.IFNA(VLOOKUP(A41,'Construction Sheet'!$A$3:$D$50,2,FALSE), "")</f>
        <v/>
      </c>
      <c r="C41" s="206"/>
      <c r="D41" s="206"/>
      <c r="E41" s="206"/>
      <c r="F41" s="207"/>
      <c r="G41" s="31" t="str">
        <f>_xlfn.IFNA(VLOOKUP(A41,'Construction Sheet'!$A$3:$D$50,3,FALSE),"")</f>
        <v/>
      </c>
      <c r="H41" s="31"/>
      <c r="I41" s="128" t="str">
        <f t="shared" si="0"/>
        <v/>
      </c>
      <c r="J41" s="124"/>
      <c r="K41" s="128" t="str">
        <f>IF($B41="","",IF($A41&gt;=1,IF($A41&lt;=33,VLOOKUP('Primary Operation 2'!$A41,'Construction Sheet'!$A$2:$F$35,5),""),""))</f>
        <v/>
      </c>
      <c r="L41" s="124"/>
      <c r="M41" s="128" t="str">
        <f>IF($B41="","",IF($A41&gt;=1,IF($A41&lt;=33,VLOOKUP('Primary Operation 2'!$A41,'Construction Sheet'!$A$2:$F$35,6),""),""))</f>
        <v/>
      </c>
      <c r="N41" s="124"/>
      <c r="O41" s="30"/>
      <c r="P41" s="122"/>
      <c r="Q41" s="123"/>
      <c r="R41" s="123"/>
      <c r="S41" s="124"/>
      <c r="T41" s="31"/>
      <c r="U41" s="31"/>
      <c r="V41" s="31"/>
      <c r="W41" s="31"/>
      <c r="X41" s="15"/>
      <c r="Y41" s="14"/>
      <c r="Z41" s="14"/>
      <c r="AA41" s="14"/>
      <c r="AB41" s="14"/>
      <c r="AC41" s="14"/>
      <c r="AD41" s="16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3"/>
      <c r="B42" s="199" t="str">
        <f>_xlfn.IFNA(VLOOKUP(A42,'Construction Sheet'!$A$3:$D$50,2,FALSE), "")</f>
        <v/>
      </c>
      <c r="C42" s="200"/>
      <c r="D42" s="200"/>
      <c r="E42" s="200"/>
      <c r="F42" s="201"/>
      <c r="G42" s="33" t="str">
        <f>_xlfn.IFNA(VLOOKUP(A42,'Construction Sheet'!$A$3:$D$50,3,FALSE),"")</f>
        <v/>
      </c>
      <c r="H42" s="33"/>
      <c r="I42" s="127" t="str">
        <f t="shared" si="0"/>
        <v/>
      </c>
      <c r="J42" s="121"/>
      <c r="K42" s="127" t="str">
        <f>IF($B42="","",IF($A42&gt;=1,IF($A42&lt;=33,VLOOKUP('Primary Operation 2'!$A42,'Construction Sheet'!$A$2:$F$35,5),""),""))</f>
        <v/>
      </c>
      <c r="L42" s="121"/>
      <c r="M42" s="127" t="str">
        <f>IF($B42="","",IF($A42&gt;=1,IF($A42&lt;=33,VLOOKUP('Primary Operation 2'!$A42,'Construction Sheet'!$A$2:$F$35,6),""),""))</f>
        <v/>
      </c>
      <c r="N42" s="121"/>
      <c r="O42" s="32"/>
      <c r="P42" s="119"/>
      <c r="Q42" s="120"/>
      <c r="R42" s="120"/>
      <c r="S42" s="121"/>
      <c r="T42" s="33"/>
      <c r="U42" s="33"/>
      <c r="V42" s="33"/>
      <c r="W42" s="33"/>
      <c r="X42" s="15"/>
      <c r="Y42" s="14"/>
      <c r="Z42" s="14"/>
      <c r="AA42" s="14"/>
      <c r="AB42" s="14"/>
      <c r="AC42" s="14"/>
      <c r="AD42" s="16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31"/>
      <c r="B43" s="205" t="str">
        <f>_xlfn.IFNA(VLOOKUP(A43,'Construction Sheet'!$A$3:$D$50,2,FALSE), "")</f>
        <v/>
      </c>
      <c r="C43" s="206"/>
      <c r="D43" s="206"/>
      <c r="E43" s="206"/>
      <c r="F43" s="207"/>
      <c r="G43" s="31" t="str">
        <f>_xlfn.IFNA(VLOOKUP(A43,'Construction Sheet'!$A$3:$D$50,3,FALSE),"")</f>
        <v/>
      </c>
      <c r="H43" s="31"/>
      <c r="I43" s="128" t="str">
        <f t="shared" si="0"/>
        <v/>
      </c>
      <c r="J43" s="124"/>
      <c r="K43" s="128" t="str">
        <f>IF($B43="","",IF($A43&gt;=1,IF($A43&lt;=33,VLOOKUP('Primary Operation 2'!$A43,'Construction Sheet'!$A$2:$F$35,5),""),""))</f>
        <v/>
      </c>
      <c r="L43" s="124"/>
      <c r="M43" s="128" t="str">
        <f>IF($B43="","",IF($A43&gt;=1,IF($A43&lt;=33,VLOOKUP('Primary Operation 2'!$A43,'Construction Sheet'!$A$2:$F$35,6),""),""))</f>
        <v/>
      </c>
      <c r="N43" s="124"/>
      <c r="O43" s="30"/>
      <c r="P43" s="122"/>
      <c r="Q43" s="123"/>
      <c r="R43" s="123"/>
      <c r="S43" s="124"/>
      <c r="T43" s="31"/>
      <c r="U43" s="31"/>
      <c r="V43" s="31"/>
      <c r="W43" s="31"/>
      <c r="X43" s="15"/>
      <c r="Y43" s="14"/>
      <c r="Z43" s="14"/>
      <c r="AA43" s="14"/>
      <c r="AB43" s="14"/>
      <c r="AC43" s="14"/>
      <c r="AD43" s="16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ht="15.75" thickBot="1" x14ac:dyDescent="0.3">
      <c r="A44" s="47"/>
      <c r="B44" s="208" t="str">
        <f>_xlfn.IFNA(VLOOKUP(A44,'Construction Sheet'!$A$3:$D$50,2,FALSE), "")</f>
        <v/>
      </c>
      <c r="C44" s="209"/>
      <c r="D44" s="209"/>
      <c r="E44" s="209"/>
      <c r="F44" s="210"/>
      <c r="G44" s="47" t="str">
        <f>_xlfn.IFNA(VLOOKUP(A44,'Construction Sheet'!$A$3:$D$50,3,FALSE),"")</f>
        <v/>
      </c>
      <c r="H44" s="47"/>
      <c r="I44" s="129" t="str">
        <f t="shared" si="0"/>
        <v/>
      </c>
      <c r="J44" s="130"/>
      <c r="K44" s="129" t="str">
        <f>IF($B44="","",IF($A44&gt;=1,IF($A44&lt;=33,VLOOKUP('Primary Operation 2'!$A44,'Construction Sheet'!$A$2:$F$35,5),""),""))</f>
        <v/>
      </c>
      <c r="L44" s="130"/>
      <c r="M44" s="129" t="str">
        <f>IF($B44="","",IF($A44&gt;=1,IF($A44&lt;=33,VLOOKUP('Primary Operation 2'!$A44,'Construction Sheet'!$A$2:$F$35,6),""),""))</f>
        <v/>
      </c>
      <c r="N44" s="130"/>
      <c r="O44" s="48"/>
      <c r="P44" s="131"/>
      <c r="Q44" s="132"/>
      <c r="R44" s="132"/>
      <c r="S44" s="130"/>
      <c r="T44" s="47"/>
      <c r="U44" s="47"/>
      <c r="V44" s="47"/>
      <c r="W44" s="47"/>
      <c r="X44" s="15"/>
      <c r="Y44" s="14"/>
      <c r="Z44" s="14"/>
      <c r="AA44" s="14"/>
      <c r="AB44" s="14"/>
      <c r="AC44" s="14"/>
      <c r="AD44" s="16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ht="15.75" thickBot="1" x14ac:dyDescent="0.3">
      <c r="A45" s="97" t="s">
        <v>53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9"/>
      <c r="T45" s="97" t="s">
        <v>54</v>
      </c>
      <c r="U45" s="99"/>
      <c r="V45" s="98" t="s">
        <v>55</v>
      </c>
      <c r="W45" s="99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</row>
    <row r="46" spans="1:46" ht="15" customHeight="1" x14ac:dyDescent="0.25">
      <c r="A46" s="91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3"/>
      <c r="T46" s="100"/>
      <c r="U46" s="101"/>
      <c r="V46" s="100"/>
      <c r="W46" s="101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</row>
    <row r="47" spans="1:46" ht="15" customHeight="1" x14ac:dyDescent="0.25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3"/>
      <c r="T47" s="100"/>
      <c r="U47" s="101"/>
      <c r="V47" s="100"/>
      <c r="W47" s="101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</row>
    <row r="48" spans="1:46" ht="15" customHeight="1" x14ac:dyDescent="0.25">
      <c r="A48" s="91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3"/>
      <c r="T48" s="100"/>
      <c r="U48" s="101"/>
      <c r="V48" s="100"/>
      <c r="W48" s="101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</row>
    <row r="49" spans="1:46" ht="15.75" customHeight="1" x14ac:dyDescent="0.25">
      <c r="A49" s="91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3"/>
      <c r="T49" s="100"/>
      <c r="U49" s="101"/>
      <c r="V49" s="100"/>
      <c r="W49" s="101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</row>
    <row r="50" spans="1:46" ht="15.75" customHeight="1" x14ac:dyDescent="0.25">
      <c r="A50" s="91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3"/>
      <c r="T50" s="100"/>
      <c r="U50" s="101"/>
      <c r="V50" s="100"/>
      <c r="W50" s="101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</row>
    <row r="51" spans="1:46" ht="15.75" customHeight="1" thickBot="1" x14ac:dyDescent="0.3">
      <c r="A51" s="94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102"/>
      <c r="U51" s="103"/>
      <c r="V51" s="102"/>
      <c r="W51" s="103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</row>
    <row r="52" spans="1:46" x14ac:dyDescent="0.25">
      <c r="A52" s="185" t="s">
        <v>190</v>
      </c>
      <c r="B52" s="185"/>
      <c r="C52" s="185"/>
      <c r="D52" s="78" t="str" cm="1">
        <f t="array" aca="1" ref="D52" ca="1">MID(CELL("filename",A1),FIND("[",CELL("filename",A1))+1,FIND(".xlsm",CELL("filename",A1))-FIND("[",CELL("filename",A1))-1)</f>
        <v>import_test</v>
      </c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 t="str">
        <f>IF(ISBLANK(Cover!D6),"",Cover!D6)</f>
        <v>26-0099</v>
      </c>
      <c r="V52" s="78"/>
      <c r="W52" s="78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</sheetData>
  <sheetProtection selectLockedCells="1"/>
  <mergeCells count="172">
    <mergeCell ref="T45:U45"/>
    <mergeCell ref="V45:W45"/>
    <mergeCell ref="A46:S51"/>
    <mergeCell ref="T46:U51"/>
    <mergeCell ref="V46:W51"/>
    <mergeCell ref="A52:C52"/>
    <mergeCell ref="D52:T52"/>
    <mergeCell ref="U52:W52"/>
    <mergeCell ref="B44:F44"/>
    <mergeCell ref="I44:J44"/>
    <mergeCell ref="K44:L44"/>
    <mergeCell ref="M44:N44"/>
    <mergeCell ref="P44:S44"/>
    <mergeCell ref="A45:S45"/>
    <mergeCell ref="B42:F42"/>
    <mergeCell ref="I42:J42"/>
    <mergeCell ref="K42:L42"/>
    <mergeCell ref="M42:N42"/>
    <mergeCell ref="P42:S42"/>
    <mergeCell ref="B43:F43"/>
    <mergeCell ref="I43:J43"/>
    <mergeCell ref="K43:L43"/>
    <mergeCell ref="M43:N43"/>
    <mergeCell ref="P43:S43"/>
    <mergeCell ref="B40:F40"/>
    <mergeCell ref="I40:J40"/>
    <mergeCell ref="K40:L40"/>
    <mergeCell ref="M40:N40"/>
    <mergeCell ref="P40:S40"/>
    <mergeCell ref="B41:F41"/>
    <mergeCell ref="I41:J41"/>
    <mergeCell ref="K41:L41"/>
    <mergeCell ref="M41:N41"/>
    <mergeCell ref="P41:S41"/>
    <mergeCell ref="B38:F38"/>
    <mergeCell ref="I38:J38"/>
    <mergeCell ref="K38:L38"/>
    <mergeCell ref="M38:N38"/>
    <mergeCell ref="P38:S38"/>
    <mergeCell ref="B39:F39"/>
    <mergeCell ref="I39:J39"/>
    <mergeCell ref="K39:L39"/>
    <mergeCell ref="M39:N39"/>
    <mergeCell ref="P39:S39"/>
    <mergeCell ref="B36:F36"/>
    <mergeCell ref="I36:J36"/>
    <mergeCell ref="K36:L36"/>
    <mergeCell ref="M36:N36"/>
    <mergeCell ref="P36:S36"/>
    <mergeCell ref="B37:F37"/>
    <mergeCell ref="I37:J37"/>
    <mergeCell ref="K37:L37"/>
    <mergeCell ref="M37:N37"/>
    <mergeCell ref="P37:S37"/>
    <mergeCell ref="B34:F34"/>
    <mergeCell ref="I34:J34"/>
    <mergeCell ref="K34:L34"/>
    <mergeCell ref="M34:N34"/>
    <mergeCell ref="P34:S34"/>
    <mergeCell ref="B35:F35"/>
    <mergeCell ref="I35:J35"/>
    <mergeCell ref="K35:L35"/>
    <mergeCell ref="M35:N35"/>
    <mergeCell ref="P35:S35"/>
    <mergeCell ref="B32:F32"/>
    <mergeCell ref="I32:J32"/>
    <mergeCell ref="K32:L32"/>
    <mergeCell ref="M32:N32"/>
    <mergeCell ref="P32:S32"/>
    <mergeCell ref="B33:F33"/>
    <mergeCell ref="I33:J33"/>
    <mergeCell ref="K33:L33"/>
    <mergeCell ref="M33:N33"/>
    <mergeCell ref="P33:S33"/>
    <mergeCell ref="B30:F30"/>
    <mergeCell ref="I30:J30"/>
    <mergeCell ref="K30:L30"/>
    <mergeCell ref="M30:N30"/>
    <mergeCell ref="P30:S30"/>
    <mergeCell ref="B31:F31"/>
    <mergeCell ref="I31:J31"/>
    <mergeCell ref="K31:L31"/>
    <mergeCell ref="M31:N31"/>
    <mergeCell ref="P31:S31"/>
    <mergeCell ref="A28:O28"/>
    <mergeCell ref="P28:W28"/>
    <mergeCell ref="B29:F29"/>
    <mergeCell ref="I29:J29"/>
    <mergeCell ref="K29:L29"/>
    <mergeCell ref="M29:N29"/>
    <mergeCell ref="P29:S29"/>
    <mergeCell ref="B26:F26"/>
    <mergeCell ref="H26:I26"/>
    <mergeCell ref="J26:K26"/>
    <mergeCell ref="M26:W27"/>
    <mergeCell ref="B27:F27"/>
    <mergeCell ref="H27:I27"/>
    <mergeCell ref="J27:K27"/>
    <mergeCell ref="B24:F24"/>
    <mergeCell ref="H24:I24"/>
    <mergeCell ref="J24:K24"/>
    <mergeCell ref="B25:F25"/>
    <mergeCell ref="H25:I25"/>
    <mergeCell ref="J25:K25"/>
    <mergeCell ref="A21:J21"/>
    <mergeCell ref="B22:F22"/>
    <mergeCell ref="H22:I22"/>
    <mergeCell ref="J22:K22"/>
    <mergeCell ref="B23:F23"/>
    <mergeCell ref="H23:I23"/>
    <mergeCell ref="J23:K23"/>
    <mergeCell ref="A19:B19"/>
    <mergeCell ref="C19:I19"/>
    <mergeCell ref="J19:K19"/>
    <mergeCell ref="A20:B20"/>
    <mergeCell ref="C20:I20"/>
    <mergeCell ref="J20:K20"/>
    <mergeCell ref="A17:B17"/>
    <mergeCell ref="C17:I17"/>
    <mergeCell ref="J17:K17"/>
    <mergeCell ref="A18:B18"/>
    <mergeCell ref="C18:I18"/>
    <mergeCell ref="J18:K18"/>
    <mergeCell ref="A14:L14"/>
    <mergeCell ref="A15:B15"/>
    <mergeCell ref="C15:I15"/>
    <mergeCell ref="J15:K15"/>
    <mergeCell ref="A16:B16"/>
    <mergeCell ref="C16:I16"/>
    <mergeCell ref="J16:K16"/>
    <mergeCell ref="B12:D12"/>
    <mergeCell ref="E12:H12"/>
    <mergeCell ref="I12:J12"/>
    <mergeCell ref="K12:L12"/>
    <mergeCell ref="B13:D13"/>
    <mergeCell ref="E13:F13"/>
    <mergeCell ref="G13:L13"/>
    <mergeCell ref="E11:H11"/>
    <mergeCell ref="I11:J11"/>
    <mergeCell ref="K11:L11"/>
    <mergeCell ref="B8:D8"/>
    <mergeCell ref="E8:H8"/>
    <mergeCell ref="I8:J8"/>
    <mergeCell ref="K8:L8"/>
    <mergeCell ref="B9:D9"/>
    <mergeCell ref="E9:H9"/>
    <mergeCell ref="I9:J9"/>
    <mergeCell ref="K9:L9"/>
    <mergeCell ref="A1:W2"/>
    <mergeCell ref="A3:L3"/>
    <mergeCell ref="M3:W3"/>
    <mergeCell ref="A4:B4"/>
    <mergeCell ref="C4:F4"/>
    <mergeCell ref="G4:H4"/>
    <mergeCell ref="I4:J4"/>
    <mergeCell ref="K4:L4"/>
    <mergeCell ref="M4:W25"/>
    <mergeCell ref="A5:B5"/>
    <mergeCell ref="C5:F5"/>
    <mergeCell ref="G5:H5"/>
    <mergeCell ref="I5:J5"/>
    <mergeCell ref="K5:L5"/>
    <mergeCell ref="A6:L6"/>
    <mergeCell ref="B7:D7"/>
    <mergeCell ref="E7:H7"/>
    <mergeCell ref="I7:J7"/>
    <mergeCell ref="K7:L7"/>
    <mergeCell ref="B10:D10"/>
    <mergeCell ref="E10:H10"/>
    <mergeCell ref="I10:J10"/>
    <mergeCell ref="K10:L10"/>
    <mergeCell ref="B11:D11"/>
  </mergeCells>
  <conditionalFormatting sqref="I30:I44">
    <cfRule type="notContainsText" dxfId="37" priority="5" operator="notContains" text="N/A">
      <formula>ISERROR(SEARCH("N/A",I30))</formula>
    </cfRule>
  </conditionalFormatting>
  <conditionalFormatting sqref="G30:G44">
    <cfRule type="expression" dxfId="36" priority="1">
      <formula>AND(IF($A30&gt;10,1),IF($A30&lt;18,1),IF($G30=".015",1))</formula>
    </cfRule>
    <cfRule type="expression" dxfId="35" priority="4">
      <formula>AND(IF($A30&gt;10,1),IF($A30&lt;18,1),IF($G30=".015r",1))</formula>
    </cfRule>
  </conditionalFormatting>
  <conditionalFormatting sqref="T46 V46">
    <cfRule type="notContainsText" dxfId="34" priority="2" operator="notContains" text="N/A">
      <formula>ISERROR(SEARCH("N/A",T46))</formula>
    </cfRule>
    <cfRule type="containsText" dxfId="33" priority="3" operator="containsText" text="N/A">
      <formula>NOT(ISERROR(SEARCH("N/A",T46)))</formula>
    </cfRule>
  </conditionalFormatting>
  <pageMargins left="0" right="0" top="0" bottom="0" header="0.3" footer="0.3"/>
  <pageSetup paperSize="17" orientation="landscape" r:id="rId1"/>
  <ignoredErrors>
    <ignoredError sqref="A4:L4 A6:L7 B5 A34:W44 B30:G30 B31:F31 B32:F32 B33:G33 I31:N31 I32:N32 D5:F5 H5 A11:L12 A8 C8:L8 A9 C9:L9 A10 C10:L10 A26:W29 A13 C13:F13 H13:L13 I33:N33 I30:N30 A14:L25 P30:W30 P31:W31 P32:W32 P33:W33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200-000000000000}">
          <x14:formula1>
            <xm:f>'Construction Sheet'!$M$2:$M$3</xm:f>
          </x14:formula1>
          <xm:sqref>B11:D11</xm:sqref>
        </x14:dataValidation>
        <x14:dataValidation type="list" allowBlank="1" xr:uid="{00000000-0002-0000-0200-000001000000}">
          <x14:formula1>
            <xm:f>'Construction Sheet'!$N$2</xm:f>
          </x14:formula1>
          <xm:sqref>B12:D12</xm:sqref>
        </x14:dataValidation>
        <x14:dataValidation type="list" allowBlank="1" showInputMessage="1" xr:uid="{00000000-0002-0000-0200-000002000000}">
          <x14:formula1>
            <xm:f>'Construction Sheet'!$I$32:$I$36</xm:f>
          </x14:formula1>
          <xm:sqref>M30:N44</xm:sqref>
        </x14:dataValidation>
        <x14:dataValidation type="list" allowBlank="1" showInputMessage="1" xr:uid="{00000000-0002-0000-0200-000003000000}">
          <x14:formula1>
            <xm:f>'Construction Sheet'!$H$32:$H$38</xm:f>
          </x14:formula1>
          <xm:sqref>K30:L44</xm:sqref>
        </x14:dataValidation>
        <x14:dataValidation type="list" allowBlank="1" showInputMessage="1" xr:uid="{00000000-0002-0000-0200-000004000000}">
          <x14:formula1>
            <xm:f>'Construction Sheet'!$K$23</xm:f>
          </x14:formula1>
          <xm:sqref>I5:J5</xm:sqref>
        </x14:dataValidation>
        <x14:dataValidation type="list" allowBlank="1" xr:uid="{00000000-0002-0000-0200-000005000000}">
          <x14:formula1>
            <xm:f>'Construction Sheet'!$H$2:$H$5</xm:f>
          </x14:formula1>
          <xm:sqref>A5:B5</xm:sqref>
        </x14:dataValidation>
        <x14:dataValidation type="list" allowBlank="1" xr:uid="{00000000-0002-0000-0200-000006000000}">
          <x14:formula1>
            <xm:f>'Construction Sheet'!$L$2:$L$4</xm:f>
          </x14:formula1>
          <xm:sqref>B10</xm:sqref>
        </x14:dataValidation>
        <x14:dataValidation type="list" allowBlank="1" xr:uid="{00000000-0002-0000-0200-000007000000}">
          <x14:formula1>
            <xm:f>'Construction Sheet'!$K$2:$K$3</xm:f>
          </x14:formula1>
          <xm:sqref>B8:B9</xm:sqref>
        </x14:dataValidation>
        <x14:dataValidation type="list" allowBlank="1" xr:uid="{00000000-0002-0000-0200-000008000000}">
          <x14:formula1>
            <xm:f>'Construction Sheet'!$I$2:$I$5</xm:f>
          </x14:formula1>
          <xm:sqref>G5</xm:sqref>
        </x14:dataValidation>
        <x14:dataValidation type="list" allowBlank="1" xr:uid="{00000000-0002-0000-0200-000009000000}">
          <x14:formula1>
            <xm:f>'Construction Sheet'!$G$2:$G$4</xm:f>
          </x14:formula1>
          <xm:sqref>B13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43CC7-B9A6-4EBC-B037-9FA4C7645DF2}">
  <sheetPr codeName="Sheet14">
    <tabColor theme="4"/>
  </sheetPr>
  <dimension ref="A1:K52"/>
  <sheetViews>
    <sheetView tabSelected="1" view="pageLayout" zoomScaleNormal="100" workbookViewId="0">
      <selection activeCell="A22" sqref="A22:K51"/>
    </sheetView>
  </sheetViews>
  <sheetFormatPr defaultRowHeight="15" x14ac:dyDescent="0.25"/>
  <cols>
    <col min="6" max="6" width="9.140625" customWidth="1"/>
  </cols>
  <sheetData>
    <row r="1" spans="1:11" x14ac:dyDescent="0.25">
      <c r="A1" s="212" t="s">
        <v>64</v>
      </c>
      <c r="B1" s="213"/>
      <c r="C1" s="213"/>
      <c r="D1" s="213"/>
      <c r="E1" s="213"/>
      <c r="F1" s="213"/>
      <c r="G1" s="213"/>
      <c r="H1" s="213"/>
      <c r="I1" s="213"/>
      <c r="J1" s="213"/>
      <c r="K1" s="214"/>
    </row>
    <row r="2" spans="1:11" x14ac:dyDescent="0.25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7"/>
    </row>
    <row r="3" spans="1:11" ht="15.75" thickBot="1" x14ac:dyDescent="0.3">
      <c r="A3" s="218" t="s">
        <v>65</v>
      </c>
      <c r="B3" s="219"/>
      <c r="C3" s="219"/>
      <c r="D3" s="219"/>
      <c r="E3" s="219"/>
      <c r="F3" s="219"/>
      <c r="G3" s="219"/>
      <c r="H3" s="219"/>
      <c r="I3" s="219"/>
      <c r="J3" s="219"/>
      <c r="K3" s="220"/>
    </row>
    <row r="4" spans="1:11" x14ac:dyDescent="0.25">
      <c r="A4" s="221" t="s">
        <v>66</v>
      </c>
      <c r="B4" s="222"/>
      <c r="C4" s="223"/>
      <c r="D4" s="221" t="s">
        <v>67</v>
      </c>
      <c r="E4" s="222"/>
      <c r="F4" s="222"/>
      <c r="G4" s="222"/>
      <c r="H4" s="223"/>
      <c r="I4" s="221" t="s">
        <v>68</v>
      </c>
      <c r="J4" s="222"/>
      <c r="K4" s="223"/>
    </row>
    <row r="5" spans="1:11" ht="15.75" thickBot="1" x14ac:dyDescent="0.3">
      <c r="A5" s="233" t="s">
        <v>230</v>
      </c>
      <c r="B5" s="234"/>
      <c r="C5" s="235"/>
      <c r="D5" s="233" t="s">
        <v>230</v>
      </c>
      <c r="E5" s="234"/>
      <c r="F5" s="234"/>
      <c r="G5" s="234"/>
      <c r="H5" s="235"/>
      <c r="I5" s="233" t="s">
        <v>231</v>
      </c>
      <c r="J5" s="234"/>
      <c r="K5" s="235"/>
    </row>
    <row r="6" spans="1:11" ht="15.75" thickBot="1" x14ac:dyDescent="0.3">
      <c r="A6" s="224" t="s">
        <v>15</v>
      </c>
      <c r="B6" s="225"/>
      <c r="C6" s="225"/>
      <c r="D6" s="225"/>
      <c r="E6" s="225"/>
      <c r="F6" s="225"/>
      <c r="G6" s="225"/>
      <c r="H6" s="225"/>
      <c r="I6" s="225"/>
      <c r="J6" s="225"/>
      <c r="K6" s="226"/>
    </row>
    <row r="7" spans="1:11" x14ac:dyDescent="0.25">
      <c r="A7" s="227" t="s">
        <v>265</v>
      </c>
      <c r="B7" s="228"/>
      <c r="C7" s="228"/>
      <c r="D7" s="228"/>
      <c r="E7" s="228"/>
      <c r="F7" s="228"/>
      <c r="G7" s="228"/>
      <c r="H7" s="228"/>
      <c r="I7" s="228"/>
      <c r="J7" s="228"/>
      <c r="K7" s="229"/>
    </row>
    <row r="8" spans="1:11" x14ac:dyDescent="0.25">
      <c r="A8" s="230"/>
      <c r="B8" s="231"/>
      <c r="C8" s="231"/>
      <c r="D8" s="231"/>
      <c r="E8" s="231"/>
      <c r="F8" s="231"/>
      <c r="G8" s="231"/>
      <c r="H8" s="231"/>
      <c r="I8" s="231"/>
      <c r="J8" s="231"/>
      <c r="K8" s="232"/>
    </row>
    <row r="9" spans="1:11" x14ac:dyDescent="0.25">
      <c r="A9" s="230"/>
      <c r="B9" s="231"/>
      <c r="C9" s="231"/>
      <c r="D9" s="231"/>
      <c r="E9" s="231"/>
      <c r="F9" s="231"/>
      <c r="G9" s="231"/>
      <c r="H9" s="231"/>
      <c r="I9" s="231"/>
      <c r="J9" s="231"/>
      <c r="K9" s="232"/>
    </row>
    <row r="10" spans="1:11" x14ac:dyDescent="0.25">
      <c r="A10" s="230"/>
      <c r="B10" s="231"/>
      <c r="C10" s="231"/>
      <c r="D10" s="231"/>
      <c r="E10" s="231"/>
      <c r="F10" s="231"/>
      <c r="G10" s="231"/>
      <c r="H10" s="231"/>
      <c r="I10" s="231"/>
      <c r="J10" s="231"/>
      <c r="K10" s="232"/>
    </row>
    <row r="11" spans="1:11" x14ac:dyDescent="0.25">
      <c r="A11" s="230"/>
      <c r="B11" s="231"/>
      <c r="C11" s="231"/>
      <c r="D11" s="231"/>
      <c r="E11" s="231"/>
      <c r="F11" s="231"/>
      <c r="G11" s="231"/>
      <c r="H11" s="231"/>
      <c r="I11" s="231"/>
      <c r="J11" s="231"/>
      <c r="K11" s="232"/>
    </row>
    <row r="12" spans="1:11" x14ac:dyDescent="0.25">
      <c r="A12" s="230"/>
      <c r="B12" s="231"/>
      <c r="C12" s="231"/>
      <c r="D12" s="231"/>
      <c r="E12" s="231"/>
      <c r="F12" s="231"/>
      <c r="G12" s="231"/>
      <c r="H12" s="231"/>
      <c r="I12" s="231"/>
      <c r="J12" s="231"/>
      <c r="K12" s="232"/>
    </row>
    <row r="13" spans="1:11" x14ac:dyDescent="0.25">
      <c r="A13" s="230"/>
      <c r="B13" s="231"/>
      <c r="C13" s="231"/>
      <c r="D13" s="231"/>
      <c r="E13" s="231"/>
      <c r="F13" s="231"/>
      <c r="G13" s="231"/>
      <c r="H13" s="231"/>
      <c r="I13" s="231"/>
      <c r="J13" s="231"/>
      <c r="K13" s="232"/>
    </row>
    <row r="14" spans="1:11" x14ac:dyDescent="0.25">
      <c r="A14" s="230"/>
      <c r="B14" s="231"/>
      <c r="C14" s="231"/>
      <c r="D14" s="231"/>
      <c r="E14" s="231"/>
      <c r="F14" s="231"/>
      <c r="G14" s="231"/>
      <c r="H14" s="231"/>
      <c r="I14" s="231"/>
      <c r="J14" s="231"/>
      <c r="K14" s="232"/>
    </row>
    <row r="15" spans="1:11" x14ac:dyDescent="0.25">
      <c r="A15" s="230"/>
      <c r="B15" s="231"/>
      <c r="C15" s="231"/>
      <c r="D15" s="231"/>
      <c r="E15" s="231"/>
      <c r="F15" s="231"/>
      <c r="G15" s="231"/>
      <c r="H15" s="231"/>
      <c r="I15" s="231"/>
      <c r="J15" s="231"/>
      <c r="K15" s="232"/>
    </row>
    <row r="16" spans="1:11" x14ac:dyDescent="0.25">
      <c r="A16" s="230"/>
      <c r="B16" s="231"/>
      <c r="C16" s="231"/>
      <c r="D16" s="231"/>
      <c r="E16" s="231"/>
      <c r="F16" s="231"/>
      <c r="G16" s="231"/>
      <c r="H16" s="231"/>
      <c r="I16" s="231"/>
      <c r="J16" s="231"/>
      <c r="K16" s="232"/>
    </row>
    <row r="17" spans="1:11" x14ac:dyDescent="0.25">
      <c r="A17" s="230"/>
      <c r="B17" s="231"/>
      <c r="C17" s="231"/>
      <c r="D17" s="231"/>
      <c r="E17" s="231"/>
      <c r="F17" s="231"/>
      <c r="G17" s="231"/>
      <c r="H17" s="231"/>
      <c r="I17" s="231"/>
      <c r="J17" s="231"/>
      <c r="K17" s="232"/>
    </row>
    <row r="18" spans="1:11" x14ac:dyDescent="0.25">
      <c r="A18" s="230"/>
      <c r="B18" s="231"/>
      <c r="C18" s="231"/>
      <c r="D18" s="231"/>
      <c r="E18" s="231"/>
      <c r="F18" s="231"/>
      <c r="G18" s="231"/>
      <c r="H18" s="231"/>
      <c r="I18" s="231"/>
      <c r="J18" s="231"/>
      <c r="K18" s="232"/>
    </row>
    <row r="19" spans="1:11" x14ac:dyDescent="0.25">
      <c r="A19" s="230"/>
      <c r="B19" s="231"/>
      <c r="C19" s="231"/>
      <c r="D19" s="231"/>
      <c r="E19" s="231"/>
      <c r="F19" s="231"/>
      <c r="G19" s="231"/>
      <c r="H19" s="231"/>
      <c r="I19" s="231"/>
      <c r="J19" s="231"/>
      <c r="K19" s="232"/>
    </row>
    <row r="20" spans="1:11" x14ac:dyDescent="0.25">
      <c r="A20" s="230"/>
      <c r="B20" s="231"/>
      <c r="C20" s="231"/>
      <c r="D20" s="231"/>
      <c r="E20" s="231"/>
      <c r="F20" s="231"/>
      <c r="G20" s="231"/>
      <c r="H20" s="231"/>
      <c r="I20" s="231"/>
      <c r="J20" s="231"/>
      <c r="K20" s="232"/>
    </row>
    <row r="21" spans="1:11" x14ac:dyDescent="0.25">
      <c r="A21" s="239" t="s">
        <v>69</v>
      </c>
      <c r="B21" s="240"/>
      <c r="C21" s="240"/>
      <c r="D21" s="240"/>
      <c r="E21" s="240"/>
      <c r="F21" s="240"/>
      <c r="G21" s="240"/>
      <c r="H21" s="240"/>
      <c r="I21" s="240"/>
      <c r="J21" s="240"/>
      <c r="K21" s="241"/>
    </row>
    <row r="22" spans="1:11" x14ac:dyDescent="0.25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4"/>
    </row>
    <row r="23" spans="1:11" x14ac:dyDescent="0.25">
      <c r="A23" s="242"/>
      <c r="B23" s="243"/>
      <c r="C23" s="243"/>
      <c r="D23" s="243"/>
      <c r="E23" s="243"/>
      <c r="F23" s="243"/>
      <c r="G23" s="243"/>
      <c r="H23" s="243"/>
      <c r="I23" s="243"/>
      <c r="J23" s="243"/>
      <c r="K23" s="244"/>
    </row>
    <row r="24" spans="1:11" x14ac:dyDescent="0.25">
      <c r="A24" s="242"/>
      <c r="B24" s="243"/>
      <c r="C24" s="243"/>
      <c r="D24" s="243"/>
      <c r="E24" s="243"/>
      <c r="F24" s="243"/>
      <c r="G24" s="243"/>
      <c r="H24" s="243"/>
      <c r="I24" s="243"/>
      <c r="J24" s="243"/>
      <c r="K24" s="244"/>
    </row>
    <row r="25" spans="1:11" x14ac:dyDescent="0.25">
      <c r="A25" s="242"/>
      <c r="B25" s="243"/>
      <c r="C25" s="243"/>
      <c r="D25" s="243"/>
      <c r="E25" s="243"/>
      <c r="F25" s="243"/>
      <c r="G25" s="243"/>
      <c r="H25" s="243"/>
      <c r="I25" s="243"/>
      <c r="J25" s="243"/>
      <c r="K25" s="244"/>
    </row>
    <row r="26" spans="1:11" x14ac:dyDescent="0.25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4"/>
    </row>
    <row r="27" spans="1:11" x14ac:dyDescent="0.25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4"/>
    </row>
    <row r="28" spans="1:11" x14ac:dyDescent="0.25">
      <c r="A28" s="242"/>
      <c r="B28" s="243"/>
      <c r="C28" s="243"/>
      <c r="D28" s="243"/>
      <c r="E28" s="243"/>
      <c r="F28" s="243"/>
      <c r="G28" s="243"/>
      <c r="H28" s="243"/>
      <c r="I28" s="243"/>
      <c r="J28" s="243"/>
      <c r="K28" s="244"/>
    </row>
    <row r="29" spans="1:11" x14ac:dyDescent="0.25">
      <c r="A29" s="242"/>
      <c r="B29" s="243"/>
      <c r="C29" s="243"/>
      <c r="D29" s="243"/>
      <c r="E29" s="243"/>
      <c r="F29" s="243"/>
      <c r="G29" s="243"/>
      <c r="H29" s="243"/>
      <c r="I29" s="243"/>
      <c r="J29" s="243"/>
      <c r="K29" s="244"/>
    </row>
    <row r="30" spans="1:11" x14ac:dyDescent="0.25">
      <c r="A30" s="242"/>
      <c r="B30" s="243"/>
      <c r="C30" s="243"/>
      <c r="D30" s="243"/>
      <c r="E30" s="243"/>
      <c r="F30" s="243"/>
      <c r="G30" s="243"/>
      <c r="H30" s="243"/>
      <c r="I30" s="243"/>
      <c r="J30" s="243"/>
      <c r="K30" s="244"/>
    </row>
    <row r="31" spans="1:11" x14ac:dyDescent="0.25">
      <c r="A31" s="242"/>
      <c r="B31" s="243"/>
      <c r="C31" s="243"/>
      <c r="D31" s="243"/>
      <c r="E31" s="243"/>
      <c r="F31" s="243"/>
      <c r="G31" s="243"/>
      <c r="H31" s="243"/>
      <c r="I31" s="243"/>
      <c r="J31" s="243"/>
      <c r="K31" s="244"/>
    </row>
    <row r="32" spans="1:11" x14ac:dyDescent="0.25">
      <c r="A32" s="242"/>
      <c r="B32" s="243"/>
      <c r="C32" s="243"/>
      <c r="D32" s="243"/>
      <c r="E32" s="243"/>
      <c r="F32" s="243"/>
      <c r="G32" s="243"/>
      <c r="H32" s="243"/>
      <c r="I32" s="243"/>
      <c r="J32" s="243"/>
      <c r="K32" s="244"/>
    </row>
    <row r="33" spans="1:11" x14ac:dyDescent="0.25">
      <c r="A33" s="242"/>
      <c r="B33" s="243"/>
      <c r="C33" s="243"/>
      <c r="D33" s="243"/>
      <c r="E33" s="243"/>
      <c r="F33" s="243"/>
      <c r="G33" s="243"/>
      <c r="H33" s="243"/>
      <c r="I33" s="243"/>
      <c r="J33" s="243"/>
      <c r="K33" s="244"/>
    </row>
    <row r="34" spans="1:11" x14ac:dyDescent="0.25">
      <c r="A34" s="242"/>
      <c r="B34" s="243"/>
      <c r="C34" s="243"/>
      <c r="D34" s="243"/>
      <c r="E34" s="243"/>
      <c r="F34" s="243"/>
      <c r="G34" s="243"/>
      <c r="H34" s="243"/>
      <c r="I34" s="243"/>
      <c r="J34" s="243"/>
      <c r="K34" s="244"/>
    </row>
    <row r="35" spans="1:11" x14ac:dyDescent="0.25">
      <c r="A35" s="242"/>
      <c r="B35" s="243"/>
      <c r="C35" s="243"/>
      <c r="D35" s="243"/>
      <c r="E35" s="243"/>
      <c r="F35" s="243"/>
      <c r="G35" s="243"/>
      <c r="H35" s="243"/>
      <c r="I35" s="243"/>
      <c r="J35" s="243"/>
      <c r="K35" s="244"/>
    </row>
    <row r="36" spans="1:11" x14ac:dyDescent="0.25">
      <c r="A36" s="242"/>
      <c r="B36" s="243"/>
      <c r="C36" s="243"/>
      <c r="D36" s="243"/>
      <c r="E36" s="243"/>
      <c r="F36" s="243"/>
      <c r="G36" s="243"/>
      <c r="H36" s="243"/>
      <c r="I36" s="243"/>
      <c r="J36" s="243"/>
      <c r="K36" s="244"/>
    </row>
    <row r="37" spans="1:11" x14ac:dyDescent="0.25">
      <c r="A37" s="242"/>
      <c r="B37" s="243"/>
      <c r="C37" s="243"/>
      <c r="D37" s="243"/>
      <c r="E37" s="243"/>
      <c r="F37" s="243"/>
      <c r="G37" s="243"/>
      <c r="H37" s="243"/>
      <c r="I37" s="243"/>
      <c r="J37" s="243"/>
      <c r="K37" s="244"/>
    </row>
    <row r="38" spans="1:11" x14ac:dyDescent="0.25">
      <c r="A38" s="242"/>
      <c r="B38" s="243"/>
      <c r="C38" s="243"/>
      <c r="D38" s="243"/>
      <c r="E38" s="243"/>
      <c r="F38" s="243"/>
      <c r="G38" s="243"/>
      <c r="H38" s="243"/>
      <c r="I38" s="243"/>
      <c r="J38" s="243"/>
      <c r="K38" s="244"/>
    </row>
    <row r="39" spans="1:11" x14ac:dyDescent="0.25">
      <c r="A39" s="242"/>
      <c r="B39" s="243"/>
      <c r="C39" s="243"/>
      <c r="D39" s="243"/>
      <c r="E39" s="243"/>
      <c r="F39" s="243"/>
      <c r="G39" s="243"/>
      <c r="H39" s="243"/>
      <c r="I39" s="243"/>
      <c r="J39" s="243"/>
      <c r="K39" s="244"/>
    </row>
    <row r="40" spans="1:11" x14ac:dyDescent="0.25">
      <c r="A40" s="242"/>
      <c r="B40" s="243"/>
      <c r="C40" s="243"/>
      <c r="D40" s="243"/>
      <c r="E40" s="243"/>
      <c r="F40" s="243"/>
      <c r="G40" s="243"/>
      <c r="H40" s="243"/>
      <c r="I40" s="243"/>
      <c r="J40" s="243"/>
      <c r="K40" s="244"/>
    </row>
    <row r="41" spans="1:11" x14ac:dyDescent="0.25">
      <c r="A41" s="242"/>
      <c r="B41" s="243"/>
      <c r="C41" s="243"/>
      <c r="D41" s="243"/>
      <c r="E41" s="243"/>
      <c r="F41" s="243"/>
      <c r="G41" s="243"/>
      <c r="H41" s="243"/>
      <c r="I41" s="243"/>
      <c r="J41" s="243"/>
      <c r="K41" s="244"/>
    </row>
    <row r="42" spans="1:11" x14ac:dyDescent="0.25">
      <c r="A42" s="242"/>
      <c r="B42" s="243"/>
      <c r="C42" s="243"/>
      <c r="D42" s="243"/>
      <c r="E42" s="243"/>
      <c r="F42" s="243"/>
      <c r="G42" s="243"/>
      <c r="H42" s="243"/>
      <c r="I42" s="243"/>
      <c r="J42" s="243"/>
      <c r="K42" s="244"/>
    </row>
    <row r="43" spans="1:11" x14ac:dyDescent="0.25">
      <c r="A43" s="242"/>
      <c r="B43" s="243"/>
      <c r="C43" s="243"/>
      <c r="D43" s="243"/>
      <c r="E43" s="243"/>
      <c r="F43" s="243"/>
      <c r="G43" s="243"/>
      <c r="H43" s="243"/>
      <c r="I43" s="243"/>
      <c r="J43" s="243"/>
      <c r="K43" s="244"/>
    </row>
    <row r="44" spans="1:11" x14ac:dyDescent="0.25">
      <c r="A44" s="242"/>
      <c r="B44" s="243"/>
      <c r="C44" s="243"/>
      <c r="D44" s="243"/>
      <c r="E44" s="243"/>
      <c r="F44" s="243"/>
      <c r="G44" s="243"/>
      <c r="H44" s="243"/>
      <c r="I44" s="243"/>
      <c r="J44" s="243"/>
      <c r="K44" s="244"/>
    </row>
    <row r="45" spans="1:11" x14ac:dyDescent="0.25">
      <c r="A45" s="242"/>
      <c r="B45" s="243"/>
      <c r="C45" s="243"/>
      <c r="D45" s="243"/>
      <c r="E45" s="243"/>
      <c r="F45" s="243"/>
      <c r="G45" s="243"/>
      <c r="H45" s="243"/>
      <c r="I45" s="243"/>
      <c r="J45" s="243"/>
      <c r="K45" s="244"/>
    </row>
    <row r="46" spans="1:11" x14ac:dyDescent="0.25">
      <c r="A46" s="242"/>
      <c r="B46" s="243"/>
      <c r="C46" s="243"/>
      <c r="D46" s="243"/>
      <c r="E46" s="243"/>
      <c r="F46" s="243"/>
      <c r="G46" s="243"/>
      <c r="H46" s="243"/>
      <c r="I46" s="243"/>
      <c r="J46" s="243"/>
      <c r="K46" s="244"/>
    </row>
    <row r="47" spans="1:11" x14ac:dyDescent="0.25">
      <c r="A47" s="242"/>
      <c r="B47" s="243"/>
      <c r="C47" s="243"/>
      <c r="D47" s="243"/>
      <c r="E47" s="243"/>
      <c r="F47" s="243"/>
      <c r="G47" s="243"/>
      <c r="H47" s="243"/>
      <c r="I47" s="243"/>
      <c r="J47" s="243"/>
      <c r="K47" s="244"/>
    </row>
    <row r="48" spans="1:11" x14ac:dyDescent="0.25">
      <c r="A48" s="242"/>
      <c r="B48" s="243"/>
      <c r="C48" s="243"/>
      <c r="D48" s="243"/>
      <c r="E48" s="243"/>
      <c r="F48" s="243"/>
      <c r="G48" s="243"/>
      <c r="H48" s="243"/>
      <c r="I48" s="243"/>
      <c r="J48" s="243"/>
      <c r="K48" s="244"/>
    </row>
    <row r="49" spans="1:11" x14ac:dyDescent="0.25">
      <c r="A49" s="242"/>
      <c r="B49" s="243"/>
      <c r="C49" s="243"/>
      <c r="D49" s="243"/>
      <c r="E49" s="243"/>
      <c r="F49" s="243"/>
      <c r="G49" s="243"/>
      <c r="H49" s="243"/>
      <c r="I49" s="243"/>
      <c r="J49" s="243"/>
      <c r="K49" s="244"/>
    </row>
    <row r="50" spans="1:11" x14ac:dyDescent="0.25">
      <c r="A50" s="242"/>
      <c r="B50" s="243"/>
      <c r="C50" s="243"/>
      <c r="D50" s="243"/>
      <c r="E50" s="243"/>
      <c r="F50" s="243"/>
      <c r="G50" s="243"/>
      <c r="H50" s="243"/>
      <c r="I50" s="243"/>
      <c r="J50" s="243"/>
      <c r="K50" s="244"/>
    </row>
    <row r="51" spans="1:11" ht="15.75" thickBot="1" x14ac:dyDescent="0.3">
      <c r="A51" s="245"/>
      <c r="B51" s="246"/>
      <c r="C51" s="246"/>
      <c r="D51" s="246"/>
      <c r="E51" s="246"/>
      <c r="F51" s="246"/>
      <c r="G51" s="246"/>
      <c r="H51" s="246"/>
      <c r="I51" s="246"/>
      <c r="J51" s="246"/>
      <c r="K51" s="247"/>
    </row>
    <row r="52" spans="1:11" x14ac:dyDescent="0.25">
      <c r="A52" s="236" t="s">
        <v>190</v>
      </c>
      <c r="B52" s="236"/>
      <c r="C52" s="236"/>
      <c r="D52" s="238" t="str" cm="1">
        <f t="array" aca="1" ref="D52" ca="1">MID(CELL("filename",A1),FIND("[",CELL("filename",A1))+1,FIND(".xlsm",CELL("filename",A1))-FIND("[",CELL("filename",A1))-1)</f>
        <v>import_test</v>
      </c>
      <c r="E52" s="238"/>
      <c r="F52" s="238"/>
      <c r="G52" s="238"/>
      <c r="H52" s="238"/>
      <c r="I52" s="237" t="str">
        <f>IF(ISBLANK(Cover!D6),"",Cover!D6)</f>
        <v>26-0099</v>
      </c>
      <c r="J52" s="237"/>
      <c r="K52" s="237"/>
    </row>
  </sheetData>
  <mergeCells count="15">
    <mergeCell ref="A6:K6"/>
    <mergeCell ref="A7:K20"/>
    <mergeCell ref="A21:K21"/>
    <mergeCell ref="A22:K51"/>
    <mergeCell ref="A52:C52"/>
    <mergeCell ref="D52:H52"/>
    <mergeCell ref="I52:K52"/>
    <mergeCell ref="A1:K2"/>
    <mergeCell ref="A3:K3"/>
    <mergeCell ref="A4:C4"/>
    <mergeCell ref="D4:H4"/>
    <mergeCell ref="I4:K4"/>
    <mergeCell ref="A5:C5"/>
    <mergeCell ref="D5:H5"/>
    <mergeCell ref="I5:K5"/>
  </mergeCells>
  <pageMargins left="0" right="0" top="0" bottom="0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/>
  </sheetPr>
  <dimension ref="A1:AT52"/>
  <sheetViews>
    <sheetView view="pageLayout" zoomScaleNormal="100" workbookViewId="0">
      <selection activeCell="B37" sqref="B37:F37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46" ht="12.75" customHeight="1" x14ac:dyDescent="0.25">
      <c r="A1" s="138" t="s">
        <v>57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5" customHeight="1" thickBot="1" x14ac:dyDescent="0.3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5.75" thickBot="1" x14ac:dyDescent="0.3">
      <c r="A3" s="165" t="s">
        <v>12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5"/>
      <c r="M3" s="165" t="s">
        <v>13</v>
      </c>
      <c r="N3" s="134"/>
      <c r="O3" s="134"/>
      <c r="P3" s="134"/>
      <c r="Q3" s="134"/>
      <c r="R3" s="134"/>
      <c r="S3" s="134"/>
      <c r="T3" s="134"/>
      <c r="U3" s="134"/>
      <c r="V3" s="134"/>
      <c r="W3" s="135"/>
      <c r="X3" s="12"/>
      <c r="Y3" s="13"/>
      <c r="Z3" s="13"/>
      <c r="AA3" s="13"/>
      <c r="AB3" s="13"/>
      <c r="AC3" s="13"/>
      <c r="AD3" s="12"/>
      <c r="AE3" s="13"/>
      <c r="AF3" s="13"/>
      <c r="AG3" s="13"/>
      <c r="AH3" s="13"/>
      <c r="AI3" s="13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8" t="s">
        <v>14</v>
      </c>
      <c r="B4" s="184"/>
      <c r="C4" s="148" t="s">
        <v>15</v>
      </c>
      <c r="D4" s="184"/>
      <c r="E4" s="184"/>
      <c r="F4" s="149"/>
      <c r="G4" s="148" t="s">
        <v>16</v>
      </c>
      <c r="H4" s="149"/>
      <c r="I4" s="148" t="s">
        <v>17</v>
      </c>
      <c r="J4" s="149"/>
      <c r="K4" s="148" t="s">
        <v>18</v>
      </c>
      <c r="L4" s="184"/>
      <c r="M4" s="178"/>
      <c r="N4" s="179"/>
      <c r="O4" s="179"/>
      <c r="P4" s="179"/>
      <c r="Q4" s="179"/>
      <c r="R4" s="179"/>
      <c r="S4" s="179"/>
      <c r="T4" s="179"/>
      <c r="U4" s="179"/>
      <c r="V4" s="179"/>
      <c r="W4" s="180"/>
      <c r="X4" s="15"/>
      <c r="Y4" s="14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.75" thickBot="1" x14ac:dyDescent="0.3">
      <c r="A5" s="160" t="s">
        <v>204</v>
      </c>
      <c r="B5" s="161"/>
      <c r="C5" s="157" t="s">
        <v>198</v>
      </c>
      <c r="D5" s="158"/>
      <c r="E5" s="158"/>
      <c r="F5" s="159"/>
      <c r="G5" s="160" t="s">
        <v>86</v>
      </c>
      <c r="H5" s="161"/>
      <c r="I5" s="160" t="s">
        <v>199</v>
      </c>
      <c r="J5" s="161"/>
      <c r="K5" s="160" t="s">
        <v>236</v>
      </c>
      <c r="L5" s="164"/>
      <c r="M5" s="181"/>
      <c r="N5" s="182"/>
      <c r="O5" s="182"/>
      <c r="P5" s="182"/>
      <c r="Q5" s="182"/>
      <c r="R5" s="182"/>
      <c r="S5" s="182"/>
      <c r="T5" s="182"/>
      <c r="U5" s="182"/>
      <c r="V5" s="182"/>
      <c r="W5" s="183"/>
      <c r="X5" s="15"/>
      <c r="Y5" s="14"/>
      <c r="Z5" s="14"/>
      <c r="AA5" s="14"/>
      <c r="AB5" s="14"/>
      <c r="AC5" s="14"/>
      <c r="AD5" s="16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ht="15.75" thickBot="1" x14ac:dyDescent="0.3">
      <c r="A6" s="162" t="s">
        <v>19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81"/>
      <c r="N6" s="182"/>
      <c r="O6" s="182"/>
      <c r="P6" s="182"/>
      <c r="Q6" s="182"/>
      <c r="R6" s="182"/>
      <c r="S6" s="182"/>
      <c r="T6" s="182"/>
      <c r="U6" s="182"/>
      <c r="V6" s="182"/>
      <c r="W6" s="183"/>
      <c r="X6" s="15"/>
      <c r="Y6" s="14"/>
      <c r="Z6" s="14"/>
      <c r="AA6" s="14"/>
      <c r="AB6" s="14"/>
      <c r="AC6" s="14"/>
      <c r="AD6" s="16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ht="15.75" thickBot="1" x14ac:dyDescent="0.3">
      <c r="A7" s="7" t="s">
        <v>20</v>
      </c>
      <c r="B7" s="140" t="s">
        <v>21</v>
      </c>
      <c r="C7" s="150"/>
      <c r="D7" s="141"/>
      <c r="E7" s="140" t="s">
        <v>22</v>
      </c>
      <c r="F7" s="150"/>
      <c r="G7" s="150"/>
      <c r="H7" s="141"/>
      <c r="I7" s="140" t="s">
        <v>23</v>
      </c>
      <c r="J7" s="141"/>
      <c r="K7" s="140" t="s">
        <v>24</v>
      </c>
      <c r="L7" s="150"/>
      <c r="M7" s="181"/>
      <c r="N7" s="182"/>
      <c r="O7" s="182"/>
      <c r="P7" s="182"/>
      <c r="Q7" s="182"/>
      <c r="R7" s="182"/>
      <c r="S7" s="182"/>
      <c r="T7" s="182"/>
      <c r="U7" s="182"/>
      <c r="V7" s="182"/>
      <c r="W7" s="183"/>
      <c r="X7" s="15"/>
      <c r="Y7" s="14"/>
      <c r="Z7" s="14"/>
      <c r="AA7" s="14"/>
      <c r="AB7" s="14"/>
      <c r="AC7" s="14"/>
      <c r="AD7" s="16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24" t="s">
        <v>25</v>
      </c>
      <c r="B8" s="211" t="s">
        <v>221</v>
      </c>
      <c r="C8" s="176"/>
      <c r="D8" s="177"/>
      <c r="E8" s="142"/>
      <c r="F8" s="151"/>
      <c r="G8" s="151"/>
      <c r="H8" s="143"/>
      <c r="I8" s="142"/>
      <c r="J8" s="173"/>
      <c r="K8" s="172"/>
      <c r="L8" s="143"/>
      <c r="M8" s="181"/>
      <c r="N8" s="182"/>
      <c r="O8" s="182"/>
      <c r="P8" s="182"/>
      <c r="Q8" s="182"/>
      <c r="R8" s="182"/>
      <c r="S8" s="182"/>
      <c r="T8" s="182"/>
      <c r="U8" s="182"/>
      <c r="V8" s="182"/>
      <c r="W8" s="183"/>
      <c r="X8" s="15"/>
      <c r="Y8" s="14"/>
      <c r="Z8" s="14"/>
      <c r="AA8" s="14"/>
      <c r="AB8" s="14"/>
      <c r="AC8" s="14"/>
      <c r="AD8" s="16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3" t="s">
        <v>26</v>
      </c>
      <c r="B9" s="128" t="s">
        <v>101</v>
      </c>
      <c r="C9" s="123"/>
      <c r="D9" s="124"/>
      <c r="E9" s="144"/>
      <c r="F9" s="152"/>
      <c r="G9" s="152"/>
      <c r="H9" s="145"/>
      <c r="I9" s="144"/>
      <c r="J9" s="174"/>
      <c r="K9" s="156"/>
      <c r="L9" s="145"/>
      <c r="M9" s="181"/>
      <c r="N9" s="182"/>
      <c r="O9" s="182"/>
      <c r="P9" s="182"/>
      <c r="Q9" s="182"/>
      <c r="R9" s="182"/>
      <c r="S9" s="182"/>
      <c r="T9" s="182"/>
      <c r="U9" s="182"/>
      <c r="V9" s="182"/>
      <c r="W9" s="183"/>
      <c r="X9" s="15"/>
      <c r="Y9" s="14"/>
      <c r="Z9" s="14"/>
      <c r="AA9" s="14"/>
      <c r="AB9" s="14"/>
      <c r="AC9" s="14"/>
      <c r="AD9" s="16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8" t="s">
        <v>27</v>
      </c>
      <c r="B10" s="127" t="s">
        <v>108</v>
      </c>
      <c r="C10" s="120"/>
      <c r="D10" s="121"/>
      <c r="E10" s="146"/>
      <c r="F10" s="153"/>
      <c r="G10" s="153"/>
      <c r="H10" s="147"/>
      <c r="I10" s="146"/>
      <c r="J10" s="188"/>
      <c r="K10" s="189"/>
      <c r="L10" s="147"/>
      <c r="M10" s="181"/>
      <c r="N10" s="182"/>
      <c r="O10" s="182"/>
      <c r="P10" s="182"/>
      <c r="Q10" s="182"/>
      <c r="R10" s="182"/>
      <c r="S10" s="182"/>
      <c r="T10" s="182"/>
      <c r="U10" s="182"/>
      <c r="V10" s="182"/>
      <c r="W10" s="183"/>
      <c r="X10" s="15"/>
      <c r="Y10" s="14"/>
      <c r="Z10" s="14"/>
      <c r="AA10" s="14"/>
      <c r="AB10" s="14"/>
      <c r="AC10" s="14"/>
      <c r="AD10" s="16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3" t="s">
        <v>28</v>
      </c>
      <c r="B11" s="128" t="str" cm="1">
        <f t="array" ref="B11">_xlfn.IFS(G5="VMC","N/A",G5="HBMX","",G5="Lathe","N/A",G5="VMC / Rotary A","",G5="","")</f>
        <v>N/A</v>
      </c>
      <c r="C11" s="123"/>
      <c r="D11" s="124"/>
      <c r="E11" s="144"/>
      <c r="F11" s="152"/>
      <c r="G11" s="152"/>
      <c r="H11" s="145"/>
      <c r="I11" s="144"/>
      <c r="J11" s="174"/>
      <c r="K11" s="156"/>
      <c r="L11" s="145"/>
      <c r="M11" s="181"/>
      <c r="N11" s="182"/>
      <c r="O11" s="182"/>
      <c r="P11" s="182"/>
      <c r="Q11" s="182"/>
      <c r="R11" s="182"/>
      <c r="S11" s="182"/>
      <c r="T11" s="182"/>
      <c r="U11" s="182"/>
      <c r="V11" s="182"/>
      <c r="W11" s="183"/>
      <c r="X11" s="15"/>
      <c r="Y11" s="14"/>
      <c r="Z11" s="14"/>
      <c r="AA11" s="14"/>
      <c r="AB11" s="14"/>
      <c r="AC11" s="14"/>
      <c r="AD11" s="16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ht="15.75" thickBot="1" x14ac:dyDescent="0.3">
      <c r="A12" s="25" t="s">
        <v>29</v>
      </c>
      <c r="B12" s="191" t="str" cm="1">
        <f t="array" ref="B12">_xlfn.IFS(G5="VMC","N/A",G5="HBMX","",G5="Lathe","N/A",G5="VMC / Rotary A","N/A",G5="","")</f>
        <v>N/A</v>
      </c>
      <c r="C12" s="192"/>
      <c r="D12" s="193"/>
      <c r="E12" s="186"/>
      <c r="F12" s="190"/>
      <c r="G12" s="190"/>
      <c r="H12" s="155"/>
      <c r="I12" s="186"/>
      <c r="J12" s="187"/>
      <c r="K12" s="154"/>
      <c r="L12" s="155"/>
      <c r="M12" s="181"/>
      <c r="N12" s="182"/>
      <c r="O12" s="182"/>
      <c r="P12" s="182"/>
      <c r="Q12" s="182"/>
      <c r="R12" s="182"/>
      <c r="S12" s="182"/>
      <c r="T12" s="182"/>
      <c r="U12" s="182"/>
      <c r="V12" s="182"/>
      <c r="W12" s="183"/>
      <c r="X12" s="15"/>
      <c r="Y12" s="14"/>
      <c r="Z12" s="14"/>
      <c r="AA12" s="14"/>
      <c r="AB12" s="14"/>
      <c r="AC12" s="14"/>
      <c r="AD12" s="16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ht="15.75" thickBot="1" x14ac:dyDescent="0.3">
      <c r="A13" s="7" t="s">
        <v>30</v>
      </c>
      <c r="B13" s="194" t="s">
        <v>84</v>
      </c>
      <c r="C13" s="195"/>
      <c r="D13" s="204"/>
      <c r="E13" s="202" t="s">
        <v>31</v>
      </c>
      <c r="F13" s="203"/>
      <c r="G13" s="194" t="s">
        <v>222</v>
      </c>
      <c r="H13" s="195"/>
      <c r="I13" s="195"/>
      <c r="J13" s="195"/>
      <c r="K13" s="195"/>
      <c r="L13" s="195"/>
      <c r="M13" s="181"/>
      <c r="N13" s="182"/>
      <c r="O13" s="182"/>
      <c r="P13" s="182"/>
      <c r="Q13" s="182"/>
      <c r="R13" s="182"/>
      <c r="S13" s="182"/>
      <c r="T13" s="182"/>
      <c r="U13" s="182"/>
      <c r="V13" s="182"/>
      <c r="W13" s="183"/>
      <c r="X13" s="15"/>
      <c r="Y13" s="14"/>
      <c r="Z13" s="14"/>
      <c r="AA13" s="14"/>
      <c r="AB13" s="14"/>
      <c r="AC13" s="14"/>
      <c r="AD13" s="16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ht="15.75" thickBot="1" x14ac:dyDescent="0.3">
      <c r="A14" s="165" t="s">
        <v>32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5"/>
      <c r="M14" s="181"/>
      <c r="N14" s="182"/>
      <c r="O14" s="182"/>
      <c r="P14" s="182"/>
      <c r="Q14" s="182"/>
      <c r="R14" s="182"/>
      <c r="S14" s="182"/>
      <c r="T14" s="182"/>
      <c r="U14" s="182"/>
      <c r="V14" s="182"/>
      <c r="W14" s="183"/>
      <c r="X14" s="15"/>
      <c r="Y14" s="14"/>
      <c r="Z14" s="14"/>
      <c r="AA14" s="14"/>
      <c r="AB14" s="14"/>
      <c r="AC14" s="14"/>
      <c r="AD14" s="16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ht="15.75" thickBot="1" x14ac:dyDescent="0.3">
      <c r="A15" s="140" t="s">
        <v>17</v>
      </c>
      <c r="B15" s="141"/>
      <c r="C15" s="150" t="s">
        <v>33</v>
      </c>
      <c r="D15" s="150"/>
      <c r="E15" s="150"/>
      <c r="F15" s="150"/>
      <c r="G15" s="150"/>
      <c r="H15" s="150"/>
      <c r="I15" s="141"/>
      <c r="J15" s="104" t="s">
        <v>34</v>
      </c>
      <c r="K15" s="106"/>
      <c r="L15" s="22" t="s">
        <v>35</v>
      </c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3"/>
      <c r="X15" s="15"/>
      <c r="Y15" s="14"/>
      <c r="Z15" s="14"/>
      <c r="AA15" s="14"/>
      <c r="AB15" s="14"/>
      <c r="AC15" s="14"/>
      <c r="AD15" s="16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2"/>
      <c r="B16" s="143"/>
      <c r="C16" s="151"/>
      <c r="D16" s="151"/>
      <c r="E16" s="151"/>
      <c r="F16" s="151"/>
      <c r="G16" s="151"/>
      <c r="H16" s="151"/>
      <c r="I16" s="143"/>
      <c r="J16" s="107"/>
      <c r="K16" s="109"/>
      <c r="L16" s="6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3"/>
      <c r="X16" s="15"/>
      <c r="Y16" s="14"/>
      <c r="Z16" s="14"/>
      <c r="AA16" s="14"/>
      <c r="AB16" s="14"/>
      <c r="AC16" s="14"/>
      <c r="AD16" s="16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4"/>
      <c r="B17" s="145"/>
      <c r="C17" s="152"/>
      <c r="D17" s="152"/>
      <c r="E17" s="152"/>
      <c r="F17" s="152"/>
      <c r="G17" s="152"/>
      <c r="H17" s="152"/>
      <c r="I17" s="145"/>
      <c r="J17" s="110"/>
      <c r="K17" s="112"/>
      <c r="L17" s="4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3"/>
      <c r="X17" s="15"/>
      <c r="Y17" s="14"/>
      <c r="Z17" s="14"/>
      <c r="AA17" s="14"/>
      <c r="AB17" s="14"/>
      <c r="AC17" s="14"/>
      <c r="AD17" s="16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146"/>
      <c r="B18" s="147"/>
      <c r="C18" s="153"/>
      <c r="D18" s="153"/>
      <c r="E18" s="153"/>
      <c r="F18" s="153"/>
      <c r="G18" s="153"/>
      <c r="H18" s="153"/>
      <c r="I18" s="147"/>
      <c r="J18" s="113"/>
      <c r="K18" s="115"/>
      <c r="L18" s="5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3"/>
      <c r="X18" s="15"/>
      <c r="Y18" s="14"/>
      <c r="Z18" s="14"/>
      <c r="AA18" s="14"/>
      <c r="AB18" s="14"/>
      <c r="AC18" s="14"/>
      <c r="AD18" s="16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144"/>
      <c r="B19" s="145"/>
      <c r="C19" s="152"/>
      <c r="D19" s="152"/>
      <c r="E19" s="152"/>
      <c r="F19" s="152"/>
      <c r="G19" s="152"/>
      <c r="H19" s="152"/>
      <c r="I19" s="145"/>
      <c r="J19" s="110"/>
      <c r="K19" s="112"/>
      <c r="L19" s="4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3"/>
      <c r="X19" s="15"/>
      <c r="Y19" s="14"/>
      <c r="Z19" s="14"/>
      <c r="AA19" s="14"/>
      <c r="AB19" s="14"/>
      <c r="AC19" s="14"/>
      <c r="AD19" s="16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ht="15.75" thickBot="1" x14ac:dyDescent="0.3">
      <c r="A20" s="146"/>
      <c r="B20" s="147"/>
      <c r="C20" s="153"/>
      <c r="D20" s="153"/>
      <c r="E20" s="153"/>
      <c r="F20" s="153"/>
      <c r="G20" s="153"/>
      <c r="H20" s="153"/>
      <c r="I20" s="147"/>
      <c r="J20" s="113"/>
      <c r="K20" s="115"/>
      <c r="L20" s="5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3"/>
      <c r="X20" s="15"/>
      <c r="Y20" s="14"/>
      <c r="Z20" s="14"/>
      <c r="AA20" s="14"/>
      <c r="AB20" s="14"/>
      <c r="AC20" s="14"/>
      <c r="AD20" s="16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5.75" thickBot="1" x14ac:dyDescent="0.3">
      <c r="A21" s="162" t="s">
        <v>36</v>
      </c>
      <c r="B21" s="196"/>
      <c r="C21" s="196"/>
      <c r="D21" s="196"/>
      <c r="E21" s="196"/>
      <c r="F21" s="196"/>
      <c r="G21" s="163"/>
      <c r="H21" s="163"/>
      <c r="I21" s="163"/>
      <c r="J21" s="197"/>
      <c r="K21" s="49"/>
      <c r="L21" s="50"/>
      <c r="M21" s="181"/>
      <c r="N21" s="182"/>
      <c r="O21" s="182"/>
      <c r="P21" s="182"/>
      <c r="Q21" s="182"/>
      <c r="R21" s="182"/>
      <c r="S21" s="182"/>
      <c r="T21" s="182"/>
      <c r="U21" s="182"/>
      <c r="V21" s="182"/>
      <c r="W21" s="183"/>
      <c r="X21" s="15"/>
      <c r="Y21" s="14"/>
      <c r="Z21" s="14"/>
      <c r="AA21" s="14"/>
      <c r="AB21" s="14"/>
      <c r="AC21" s="14"/>
      <c r="AD21" s="16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ht="15.75" thickBot="1" x14ac:dyDescent="0.3">
      <c r="A22" s="40" t="s">
        <v>37</v>
      </c>
      <c r="B22" s="104" t="s">
        <v>17</v>
      </c>
      <c r="C22" s="105"/>
      <c r="D22" s="105"/>
      <c r="E22" s="105"/>
      <c r="F22" s="106"/>
      <c r="G22" s="43" t="s">
        <v>38</v>
      </c>
      <c r="H22" s="140" t="s">
        <v>39</v>
      </c>
      <c r="I22" s="141"/>
      <c r="J22" s="140" t="s">
        <v>34</v>
      </c>
      <c r="K22" s="141"/>
      <c r="L22" s="41" t="s">
        <v>35</v>
      </c>
      <c r="M22" s="181"/>
      <c r="N22" s="182"/>
      <c r="O22" s="182"/>
      <c r="P22" s="182"/>
      <c r="Q22" s="182"/>
      <c r="R22" s="182"/>
      <c r="S22" s="182"/>
      <c r="T22" s="182"/>
      <c r="U22" s="182"/>
      <c r="V22" s="182"/>
      <c r="W22" s="183"/>
      <c r="X22" s="15"/>
      <c r="Y22" s="14"/>
      <c r="Z22" s="14"/>
      <c r="AA22" s="14"/>
      <c r="AB22" s="14"/>
      <c r="AC22" s="14"/>
      <c r="AD22" s="16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26">
        <v>1</v>
      </c>
      <c r="B23" s="107"/>
      <c r="C23" s="108"/>
      <c r="D23" s="108"/>
      <c r="E23" s="108"/>
      <c r="F23" s="109"/>
      <c r="G23" s="34"/>
      <c r="H23" s="142"/>
      <c r="I23" s="143"/>
      <c r="J23" s="142"/>
      <c r="K23" s="143"/>
      <c r="L23" s="51"/>
      <c r="M23" s="181"/>
      <c r="N23" s="182"/>
      <c r="O23" s="182"/>
      <c r="P23" s="182"/>
      <c r="Q23" s="182"/>
      <c r="R23" s="182"/>
      <c r="S23" s="182"/>
      <c r="T23" s="182"/>
      <c r="U23" s="182"/>
      <c r="V23" s="182"/>
      <c r="W23" s="183"/>
      <c r="X23" s="15"/>
      <c r="Y23" s="14"/>
      <c r="Z23" s="14"/>
      <c r="AA23" s="14"/>
      <c r="AB23" s="14"/>
      <c r="AC23" s="14"/>
      <c r="AD23" s="16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27">
        <v>2</v>
      </c>
      <c r="B24" s="110"/>
      <c r="C24" s="111"/>
      <c r="D24" s="111"/>
      <c r="E24" s="111"/>
      <c r="F24" s="112"/>
      <c r="G24" s="44"/>
      <c r="H24" s="144"/>
      <c r="I24" s="145"/>
      <c r="J24" s="144"/>
      <c r="K24" s="145"/>
      <c r="L24" s="42"/>
      <c r="M24" s="181"/>
      <c r="N24" s="182"/>
      <c r="O24" s="182"/>
      <c r="P24" s="182"/>
      <c r="Q24" s="182"/>
      <c r="R24" s="182"/>
      <c r="S24" s="182"/>
      <c r="T24" s="182"/>
      <c r="U24" s="182"/>
      <c r="V24" s="182"/>
      <c r="W24" s="183"/>
      <c r="X24" s="15"/>
      <c r="Y24" s="14"/>
      <c r="Z24" s="14"/>
      <c r="AA24" s="14"/>
      <c r="AB24" s="14"/>
      <c r="AC24" s="14"/>
      <c r="AD24" s="16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28">
        <v>3</v>
      </c>
      <c r="B25" s="113"/>
      <c r="C25" s="114"/>
      <c r="D25" s="114"/>
      <c r="E25" s="114"/>
      <c r="F25" s="115"/>
      <c r="G25" s="38"/>
      <c r="H25" s="146"/>
      <c r="I25" s="147"/>
      <c r="J25" s="146"/>
      <c r="K25" s="147"/>
      <c r="L25" s="39"/>
      <c r="M25" s="181"/>
      <c r="N25" s="182"/>
      <c r="O25" s="182"/>
      <c r="P25" s="182"/>
      <c r="Q25" s="182"/>
      <c r="R25" s="182"/>
      <c r="S25" s="182"/>
      <c r="T25" s="182"/>
      <c r="U25" s="182"/>
      <c r="V25" s="182"/>
      <c r="W25" s="183"/>
      <c r="X25" s="15"/>
      <c r="Y25" s="14"/>
      <c r="Z25" s="14"/>
      <c r="AA25" s="14"/>
      <c r="AB25" s="14"/>
      <c r="AC25" s="14"/>
      <c r="AD25" s="16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ht="15" customHeight="1" x14ac:dyDescent="0.25">
      <c r="A26" s="27">
        <v>4</v>
      </c>
      <c r="B26" s="110"/>
      <c r="C26" s="111"/>
      <c r="D26" s="111"/>
      <c r="E26" s="111"/>
      <c r="F26" s="112"/>
      <c r="G26" s="44"/>
      <c r="H26" s="144"/>
      <c r="I26" s="145"/>
      <c r="J26" s="144"/>
      <c r="K26" s="145"/>
      <c r="L26" s="42"/>
      <c r="M26" s="166" t="s">
        <v>40</v>
      </c>
      <c r="N26" s="167"/>
      <c r="O26" s="167"/>
      <c r="P26" s="167"/>
      <c r="Q26" s="167"/>
      <c r="R26" s="167"/>
      <c r="S26" s="167"/>
      <c r="T26" s="167"/>
      <c r="U26" s="167"/>
      <c r="V26" s="167"/>
      <c r="W26" s="168"/>
      <c r="X26" s="15"/>
      <c r="Y26" s="14"/>
      <c r="Z26" s="14"/>
      <c r="AA26" s="14"/>
      <c r="AB26" s="14"/>
      <c r="AC26" s="14"/>
      <c r="AD26" s="16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ht="15.75" customHeight="1" thickBot="1" x14ac:dyDescent="0.3">
      <c r="A27" s="29">
        <v>5</v>
      </c>
      <c r="B27" s="116"/>
      <c r="C27" s="117"/>
      <c r="D27" s="117"/>
      <c r="E27" s="117"/>
      <c r="F27" s="118"/>
      <c r="G27" s="46"/>
      <c r="H27" s="186"/>
      <c r="I27" s="155"/>
      <c r="J27" s="186"/>
      <c r="K27" s="155"/>
      <c r="L27" s="45"/>
      <c r="M27" s="169"/>
      <c r="N27" s="170"/>
      <c r="O27" s="170"/>
      <c r="P27" s="170"/>
      <c r="Q27" s="170"/>
      <c r="R27" s="170"/>
      <c r="S27" s="170"/>
      <c r="T27" s="170"/>
      <c r="U27" s="170"/>
      <c r="V27" s="170"/>
      <c r="W27" s="171"/>
      <c r="X27" s="15"/>
      <c r="Y27" s="14"/>
      <c r="Z27" s="14"/>
      <c r="AA27" s="14"/>
      <c r="AB27" s="14"/>
      <c r="AC27" s="14"/>
      <c r="AD27" s="16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ht="15.75" thickBot="1" x14ac:dyDescent="0.3">
      <c r="A28" s="165" t="s">
        <v>41</v>
      </c>
      <c r="B28" s="198"/>
      <c r="C28" s="198"/>
      <c r="D28" s="198"/>
      <c r="E28" s="198"/>
      <c r="F28" s="198"/>
      <c r="G28" s="134"/>
      <c r="H28" s="134"/>
      <c r="I28" s="134"/>
      <c r="J28" s="134"/>
      <c r="K28" s="134"/>
      <c r="L28" s="134"/>
      <c r="M28" s="134"/>
      <c r="N28" s="134"/>
      <c r="O28" s="134"/>
      <c r="P28" s="133" t="s">
        <v>42</v>
      </c>
      <c r="Q28" s="134"/>
      <c r="R28" s="134"/>
      <c r="S28" s="134"/>
      <c r="T28" s="134"/>
      <c r="U28" s="134"/>
      <c r="V28" s="134"/>
      <c r="W28" s="135"/>
      <c r="X28" s="15"/>
      <c r="Y28" s="14"/>
      <c r="Z28" s="14"/>
      <c r="AA28" s="14"/>
      <c r="AB28" s="14"/>
      <c r="AC28" s="14"/>
      <c r="AD28" s="16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6" t="s">
        <v>38</v>
      </c>
      <c r="B29" s="178" t="s">
        <v>43</v>
      </c>
      <c r="C29" s="179"/>
      <c r="D29" s="179"/>
      <c r="E29" s="179"/>
      <c r="F29" s="180"/>
      <c r="G29" s="35" t="s">
        <v>44</v>
      </c>
      <c r="H29" s="36" t="s">
        <v>45</v>
      </c>
      <c r="I29" s="125" t="s">
        <v>46</v>
      </c>
      <c r="J29" s="126"/>
      <c r="K29" s="125" t="s">
        <v>47</v>
      </c>
      <c r="L29" s="126"/>
      <c r="M29" s="125" t="s">
        <v>48</v>
      </c>
      <c r="N29" s="126"/>
      <c r="O29" s="10" t="s">
        <v>49</v>
      </c>
      <c r="P29" s="136" t="s">
        <v>50</v>
      </c>
      <c r="Q29" s="137"/>
      <c r="R29" s="137"/>
      <c r="S29" s="126"/>
      <c r="T29" s="36" t="s">
        <v>51</v>
      </c>
      <c r="U29" s="36" t="s">
        <v>52</v>
      </c>
      <c r="V29" s="36" t="s">
        <v>35</v>
      </c>
      <c r="W29" s="35" t="s">
        <v>24</v>
      </c>
      <c r="X29" s="15"/>
      <c r="Y29" s="14"/>
      <c r="Z29" s="14"/>
      <c r="AA29" s="14"/>
      <c r="AB29" s="14"/>
      <c r="AC29" s="14"/>
      <c r="AD29" s="16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3"/>
      <c r="B30" s="199" t="str">
        <f>_xlfn.IFNA(VLOOKUP(A30,'Construction Sheet'!$A$3:$D$50,2,FALSE), "")</f>
        <v/>
      </c>
      <c r="C30" s="200"/>
      <c r="D30" s="200"/>
      <c r="E30" s="200"/>
      <c r="F30" s="201"/>
      <c r="G30" s="33" t="str">
        <f>_xlfn.IFNA(VLOOKUP(A30,'Construction Sheet'!$A$3:$D$50,3,FALSE),"")</f>
        <v/>
      </c>
      <c r="H30" s="33"/>
      <c r="I30" s="127" t="str">
        <f>IF($B30="","",IF(10&lt;$A30,IF($A30&lt;18,".002","N/A"),"N/A"))</f>
        <v/>
      </c>
      <c r="J30" s="121"/>
      <c r="K30" s="127" t="str">
        <f>IF($B30="","",IF($A30&gt;=1,IF($A30&lt;=33,VLOOKUP('Primary Operation 3'!$A30,'Construction Sheet'!$A$2:$F$35,5),""),""))</f>
        <v/>
      </c>
      <c r="L30" s="121"/>
      <c r="M30" s="127" t="str">
        <f>IF($B30="","",IF($A30&gt;=1,IF($A30&lt;=33,VLOOKUP('Primary Operation 3'!$A30,'Construction Sheet'!$A$2:$F$35,6),""),""))</f>
        <v/>
      </c>
      <c r="N30" s="121"/>
      <c r="O30" s="32"/>
      <c r="P30" s="119"/>
      <c r="Q30" s="120"/>
      <c r="R30" s="120"/>
      <c r="S30" s="121"/>
      <c r="T30" s="33"/>
      <c r="U30" s="33"/>
      <c r="V30" s="33"/>
      <c r="W30" s="33"/>
      <c r="X30" s="15"/>
      <c r="Y30" s="14"/>
      <c r="Z30" s="14"/>
      <c r="AA30" s="14"/>
      <c r="AB30" s="14"/>
      <c r="AC30" s="14"/>
      <c r="AD30" s="16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ht="15" customHeight="1" x14ac:dyDescent="0.25">
      <c r="A31" s="31">
        <v>50</v>
      </c>
      <c r="B31" s="205" t="s">
        <v>223</v>
      </c>
      <c r="C31" s="206"/>
      <c r="D31" s="206"/>
      <c r="E31" s="206"/>
      <c r="F31" s="207"/>
      <c r="G31" s="31" t="s">
        <v>194</v>
      </c>
      <c r="H31" s="31" t="s">
        <v>94</v>
      </c>
      <c r="I31" s="128" t="str">
        <f t="shared" ref="I31:I44" si="0">IF($B31="","",IF(10&lt;$A31,IF($A31&lt;18,".002","N/A"),"N/A"))</f>
        <v>N/A</v>
      </c>
      <c r="J31" s="124"/>
      <c r="K31" s="128" t="s">
        <v>173</v>
      </c>
      <c r="L31" s="124"/>
      <c r="M31" s="128" t="s">
        <v>128</v>
      </c>
      <c r="N31" s="124"/>
      <c r="O31" s="30" t="s">
        <v>225</v>
      </c>
      <c r="P31" s="122" t="s">
        <v>226</v>
      </c>
      <c r="Q31" s="123"/>
      <c r="R31" s="123"/>
      <c r="S31" s="124"/>
      <c r="T31" s="31"/>
      <c r="U31" s="31"/>
      <c r="V31" s="31"/>
      <c r="W31" s="31"/>
      <c r="X31" s="15"/>
      <c r="Y31" s="14"/>
      <c r="Z31" s="14"/>
      <c r="AA31" s="14"/>
      <c r="AB31" s="14"/>
      <c r="AC31" s="14"/>
      <c r="AD31" s="16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3">
        <v>11</v>
      </c>
      <c r="B32" s="199" t="str">
        <f>_xlfn.IFNA(VLOOKUP(A32,'Construction Sheet'!$A$3:$D$50,2,FALSE), "")</f>
        <v>ø3/8" Millstar / OSG Bullmill</v>
      </c>
      <c r="C32" s="200"/>
      <c r="D32" s="200"/>
      <c r="E32" s="200"/>
      <c r="F32" s="201"/>
      <c r="G32" s="33" t="s">
        <v>194</v>
      </c>
      <c r="H32" s="33" t="s">
        <v>126</v>
      </c>
      <c r="I32" s="127" t="str">
        <f t="shared" si="0"/>
        <v>.002</v>
      </c>
      <c r="J32" s="121"/>
      <c r="K32" s="127" t="str">
        <f>IF($B32="","",IF($A32&gt;=1,IF($A32&lt;=33,VLOOKUP('Primary Operation 3'!$A32,'Construction Sheet'!$A$2:$F$35,5),""),""))</f>
        <v>Collet / Shrinkfit</v>
      </c>
      <c r="L32" s="121"/>
      <c r="M32" s="127" t="str">
        <f>IF($B32="","",IF($A32&gt;=1,IF($A32&lt;=33,VLOOKUP('Primary Operation 3'!$A32,'Construction Sheet'!$A$2:$F$35,6),""),""))</f>
        <v>Flood Coolant</v>
      </c>
      <c r="N32" s="121"/>
      <c r="O32" s="32" t="s">
        <v>235</v>
      </c>
      <c r="P32" s="119"/>
      <c r="Q32" s="120"/>
      <c r="R32" s="120"/>
      <c r="S32" s="121"/>
      <c r="T32" s="33"/>
      <c r="U32" s="33"/>
      <c r="V32" s="33"/>
      <c r="W32" s="33"/>
      <c r="X32" s="15"/>
      <c r="Y32" s="14"/>
      <c r="Z32" s="14"/>
      <c r="AA32" s="14"/>
      <c r="AB32" s="14"/>
      <c r="AC32" s="14"/>
      <c r="AD32" s="16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/>
      <c r="B33" s="205" t="str">
        <f>_xlfn.IFNA(VLOOKUP(A33,'Construction Sheet'!$A$3:$D$50,2,FALSE), "")</f>
        <v/>
      </c>
      <c r="C33" s="206"/>
      <c r="D33" s="206"/>
      <c r="E33" s="206"/>
      <c r="F33" s="207"/>
      <c r="G33" s="31" t="str">
        <f>_xlfn.IFNA(VLOOKUP(A33,'Construction Sheet'!$A$3:$D$50,3,FALSE),"")</f>
        <v/>
      </c>
      <c r="H33" s="31"/>
      <c r="I33" s="128" t="str">
        <f t="shared" si="0"/>
        <v/>
      </c>
      <c r="J33" s="124"/>
      <c r="K33" s="128" t="str">
        <f>IF($B33="","",IF($A33&gt;=1,IF($A33&lt;=33,VLOOKUP('Primary Operation 3'!$A33,'Construction Sheet'!$A$2:$F$35,5),""),""))</f>
        <v/>
      </c>
      <c r="L33" s="124"/>
      <c r="M33" s="128" t="str">
        <f>IF($B33="","",IF($A33&gt;=1,IF($A33&lt;=33,VLOOKUP('Primary Operation 3'!$A33,'Construction Sheet'!$A$2:$F$35,6),""),""))</f>
        <v/>
      </c>
      <c r="N33" s="124"/>
      <c r="O33" s="30"/>
      <c r="P33" s="122"/>
      <c r="Q33" s="123"/>
      <c r="R33" s="123"/>
      <c r="S33" s="124"/>
      <c r="T33" s="31"/>
      <c r="U33" s="31"/>
      <c r="V33" s="31"/>
      <c r="W33" s="31"/>
      <c r="X33" s="15"/>
      <c r="Y33" s="14"/>
      <c r="Z33" s="14"/>
      <c r="AA33" s="14"/>
      <c r="AB33" s="14"/>
      <c r="AC33" s="14"/>
      <c r="AD33" s="16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3"/>
      <c r="B34" s="199" t="str">
        <f>_xlfn.IFNA(VLOOKUP(A34,'Construction Sheet'!$A$3:$D$50,2,FALSE), "")</f>
        <v/>
      </c>
      <c r="C34" s="200"/>
      <c r="D34" s="200"/>
      <c r="E34" s="200"/>
      <c r="F34" s="201"/>
      <c r="G34" s="33" t="str">
        <f>_xlfn.IFNA(VLOOKUP(A34,'Construction Sheet'!$A$3:$D$50,3,FALSE),"")</f>
        <v/>
      </c>
      <c r="H34" s="33"/>
      <c r="I34" s="127" t="str">
        <f t="shared" si="0"/>
        <v/>
      </c>
      <c r="J34" s="121"/>
      <c r="K34" s="127" t="str">
        <f>IF($B34="","",IF($A34&gt;=1,IF($A34&lt;=33,VLOOKUP('Primary Operation 3'!$A34,'Construction Sheet'!$A$2:$F$35,5),""),""))</f>
        <v/>
      </c>
      <c r="L34" s="121"/>
      <c r="M34" s="127" t="str">
        <f>IF($B34="","",IF($A34&gt;=1,IF($A34&lt;=33,VLOOKUP('Primary Operation 3'!$A34,'Construction Sheet'!$A$2:$F$35,6),""),""))</f>
        <v/>
      </c>
      <c r="N34" s="121"/>
      <c r="O34" s="32"/>
      <c r="P34" s="119"/>
      <c r="Q34" s="120"/>
      <c r="R34" s="120"/>
      <c r="S34" s="121"/>
      <c r="T34" s="33"/>
      <c r="U34" s="33"/>
      <c r="V34" s="33"/>
      <c r="W34" s="33"/>
      <c r="X34" s="15"/>
      <c r="Y34" s="14"/>
      <c r="Z34" s="14"/>
      <c r="AA34" s="14"/>
      <c r="AB34" s="14"/>
      <c r="AC34" s="14"/>
      <c r="AD34" s="16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05" t="str">
        <f>_xlfn.IFNA(VLOOKUP(A35,'Construction Sheet'!$A$3:$D$50,2,FALSE), "")</f>
        <v/>
      </c>
      <c r="C35" s="206"/>
      <c r="D35" s="206"/>
      <c r="E35" s="206"/>
      <c r="F35" s="207"/>
      <c r="G35" s="31" t="str">
        <f>_xlfn.IFNA(VLOOKUP(A35,'Construction Sheet'!$A$3:$D$50,3,FALSE),"")</f>
        <v/>
      </c>
      <c r="H35" s="31"/>
      <c r="I35" s="128" t="str">
        <f t="shared" si="0"/>
        <v/>
      </c>
      <c r="J35" s="124"/>
      <c r="K35" s="128" t="str">
        <f>IF($B35="","",IF($A35&gt;=1,IF($A35&lt;=33,VLOOKUP('Primary Operation 3'!$A35,'Construction Sheet'!$A$2:$F$35,5),""),""))</f>
        <v/>
      </c>
      <c r="L35" s="124"/>
      <c r="M35" s="128" t="str">
        <f>IF($B35="","",IF($A35&gt;=1,IF($A35&lt;=33,VLOOKUP('Primary Operation 3'!$A35,'Construction Sheet'!$A$2:$F$35,6),""),""))</f>
        <v/>
      </c>
      <c r="N35" s="124"/>
      <c r="O35" s="30"/>
      <c r="P35" s="122"/>
      <c r="Q35" s="123"/>
      <c r="R35" s="123"/>
      <c r="S35" s="124"/>
      <c r="T35" s="31"/>
      <c r="U35" s="31"/>
      <c r="V35" s="31"/>
      <c r="W35" s="31"/>
      <c r="X35" s="15"/>
      <c r="Y35" s="14"/>
      <c r="Z35" s="14"/>
      <c r="AA35" s="14"/>
      <c r="AB35" s="14"/>
      <c r="AC35" s="14"/>
      <c r="AD35" s="16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3"/>
      <c r="B36" s="199" t="str">
        <f>_xlfn.IFNA(VLOOKUP(A36,'Construction Sheet'!$A$3:$D$50,2,FALSE), "")</f>
        <v/>
      </c>
      <c r="C36" s="200"/>
      <c r="D36" s="200"/>
      <c r="E36" s="200"/>
      <c r="F36" s="201"/>
      <c r="G36" s="33" t="str">
        <f>_xlfn.IFNA(VLOOKUP(A36,'Construction Sheet'!$A$3:$D$50,3,FALSE),"")</f>
        <v/>
      </c>
      <c r="H36" s="33"/>
      <c r="I36" s="127" t="str">
        <f t="shared" si="0"/>
        <v/>
      </c>
      <c r="J36" s="121"/>
      <c r="K36" s="127" t="str">
        <f>IF($B36="","",IF($A36&gt;=1,IF($A36&lt;=33,VLOOKUP('Primary Operation 3'!$A36,'Construction Sheet'!$A$2:$F$35,5),""),""))</f>
        <v/>
      </c>
      <c r="L36" s="121"/>
      <c r="M36" s="127" t="str">
        <f>IF($B36="","",IF($A36&gt;=1,IF($A36&lt;=33,VLOOKUP('Primary Operation 3'!$A36,'Construction Sheet'!$A$2:$F$35,6),""),""))</f>
        <v/>
      </c>
      <c r="N36" s="121"/>
      <c r="O36" s="32"/>
      <c r="P36" s="119"/>
      <c r="Q36" s="120"/>
      <c r="R36" s="120"/>
      <c r="S36" s="121"/>
      <c r="T36" s="33"/>
      <c r="U36" s="33"/>
      <c r="V36" s="33"/>
      <c r="W36" s="33"/>
      <c r="X36" s="15"/>
      <c r="Y36" s="14"/>
      <c r="Z36" s="14"/>
      <c r="AA36" s="14"/>
      <c r="AB36" s="14"/>
      <c r="AC36" s="14"/>
      <c r="AD36" s="16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05" t="str">
        <f>_xlfn.IFNA(VLOOKUP(A37,'Construction Sheet'!$A$3:$D$50,2,FALSE), "")</f>
        <v/>
      </c>
      <c r="C37" s="206"/>
      <c r="D37" s="206"/>
      <c r="E37" s="206"/>
      <c r="F37" s="207"/>
      <c r="G37" s="31" t="str">
        <f>_xlfn.IFNA(VLOOKUP(A37,'Construction Sheet'!$A$3:$D$50,3,FALSE),"")</f>
        <v/>
      </c>
      <c r="H37" s="31"/>
      <c r="I37" s="128" t="str">
        <f t="shared" si="0"/>
        <v/>
      </c>
      <c r="J37" s="124"/>
      <c r="K37" s="128" t="str">
        <f>IF($B37="","",IF($A37&gt;=1,IF($A37&lt;=33,VLOOKUP('Primary Operation 3'!$A37,'Construction Sheet'!$A$2:$F$35,5),""),""))</f>
        <v/>
      </c>
      <c r="L37" s="124"/>
      <c r="M37" s="128" t="str">
        <f>IF($B37="","",IF($A37&gt;=1,IF($A37&lt;=33,VLOOKUP('Primary Operation 3'!$A37,'Construction Sheet'!$A$2:$F$35,6),""),""))</f>
        <v/>
      </c>
      <c r="N37" s="124"/>
      <c r="O37" s="30"/>
      <c r="P37" s="122"/>
      <c r="Q37" s="123"/>
      <c r="R37" s="123"/>
      <c r="S37" s="124"/>
      <c r="T37" s="31"/>
      <c r="U37" s="31"/>
      <c r="V37" s="31"/>
      <c r="W37" s="31"/>
      <c r="X37" s="15"/>
      <c r="Y37" s="14"/>
      <c r="Z37" s="14"/>
      <c r="AA37" s="14"/>
      <c r="AB37" s="14"/>
      <c r="AC37" s="14"/>
      <c r="AD37" s="16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3"/>
      <c r="B38" s="199" t="str">
        <f>_xlfn.IFNA(VLOOKUP(A38,'Construction Sheet'!$A$3:$D$50,2,FALSE), "")</f>
        <v/>
      </c>
      <c r="C38" s="200"/>
      <c r="D38" s="200"/>
      <c r="E38" s="200"/>
      <c r="F38" s="201"/>
      <c r="G38" s="33" t="str">
        <f>_xlfn.IFNA(VLOOKUP(A38,'Construction Sheet'!$A$3:$D$50,3,FALSE),"")</f>
        <v/>
      </c>
      <c r="H38" s="33"/>
      <c r="I38" s="127" t="str">
        <f t="shared" si="0"/>
        <v/>
      </c>
      <c r="J38" s="121"/>
      <c r="K38" s="127" t="str">
        <f>IF($B38="","",IF($A38&gt;=1,IF($A38&lt;=33,VLOOKUP('Primary Operation 3'!$A38,'Construction Sheet'!$A$2:$F$35,5),""),""))</f>
        <v/>
      </c>
      <c r="L38" s="121"/>
      <c r="M38" s="127" t="str">
        <f>IF($B38="","",IF($A38&gt;=1,IF($A38&lt;=33,VLOOKUP('Primary Operation 3'!$A38,'Construction Sheet'!$A$2:$F$35,6),""),""))</f>
        <v/>
      </c>
      <c r="N38" s="121"/>
      <c r="O38" s="32"/>
      <c r="P38" s="119"/>
      <c r="Q38" s="120"/>
      <c r="R38" s="120"/>
      <c r="S38" s="121"/>
      <c r="T38" s="33"/>
      <c r="U38" s="33"/>
      <c r="V38" s="33"/>
      <c r="W38" s="33"/>
      <c r="X38" s="15"/>
      <c r="Y38" s="14"/>
      <c r="Z38" s="14"/>
      <c r="AA38" s="14"/>
      <c r="AB38" s="14"/>
      <c r="AC38" s="14"/>
      <c r="AD38" s="16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05" t="str">
        <f>_xlfn.IFNA(VLOOKUP(A39,'Construction Sheet'!$A$3:$D$50,2,FALSE), "")</f>
        <v/>
      </c>
      <c r="C39" s="206"/>
      <c r="D39" s="206"/>
      <c r="E39" s="206"/>
      <c r="F39" s="207"/>
      <c r="G39" s="31" t="str">
        <f>_xlfn.IFNA(VLOOKUP(A39,'Construction Sheet'!$A$3:$D$50,3,FALSE),"")</f>
        <v/>
      </c>
      <c r="H39" s="31"/>
      <c r="I39" s="128" t="str">
        <f t="shared" si="0"/>
        <v/>
      </c>
      <c r="J39" s="124"/>
      <c r="K39" s="128" t="str">
        <f>IF($B39="","",IF($A39&gt;=1,IF($A39&lt;=33,VLOOKUP('Primary Operation 3'!$A39,'Construction Sheet'!$A$2:$F$35,5),""),""))</f>
        <v/>
      </c>
      <c r="L39" s="124"/>
      <c r="M39" s="128" t="str">
        <f>IF($B39="","",IF($A39&gt;=1,IF($A39&lt;=33,VLOOKUP('Primary Operation 3'!$A39,'Construction Sheet'!$A$2:$F$35,6),""),""))</f>
        <v/>
      </c>
      <c r="N39" s="124"/>
      <c r="O39" s="30"/>
      <c r="P39" s="122"/>
      <c r="Q39" s="123"/>
      <c r="R39" s="123"/>
      <c r="S39" s="124"/>
      <c r="T39" s="31"/>
      <c r="U39" s="31"/>
      <c r="V39" s="31"/>
      <c r="W39" s="31"/>
      <c r="X39" s="15"/>
      <c r="Y39" s="14"/>
      <c r="Z39" s="14"/>
      <c r="AA39" s="14"/>
      <c r="AB39" s="14"/>
      <c r="AC39" s="14"/>
      <c r="AD39" s="16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3"/>
      <c r="B40" s="199" t="str">
        <f>_xlfn.IFNA(VLOOKUP(A40,'Construction Sheet'!$A$3:$D$50,2,FALSE), "")</f>
        <v/>
      </c>
      <c r="C40" s="200"/>
      <c r="D40" s="200"/>
      <c r="E40" s="200"/>
      <c r="F40" s="201"/>
      <c r="G40" s="33" t="str">
        <f>_xlfn.IFNA(VLOOKUP(A40,'Construction Sheet'!$A$3:$D$50,3,FALSE),"")</f>
        <v/>
      </c>
      <c r="H40" s="33"/>
      <c r="I40" s="127" t="str">
        <f t="shared" si="0"/>
        <v/>
      </c>
      <c r="J40" s="121"/>
      <c r="K40" s="127" t="str">
        <f>IF($B40="","",IF($A40&gt;=1,IF($A40&lt;=33,VLOOKUP('Primary Operation 3'!$A40,'Construction Sheet'!$A$2:$F$35,5),""),""))</f>
        <v/>
      </c>
      <c r="L40" s="121"/>
      <c r="M40" s="127" t="str">
        <f>IF($B40="","",IF($A40&gt;=1,IF($A40&lt;=33,VLOOKUP('Primary Operation 3'!$A40,'Construction Sheet'!$A$2:$F$35,6),""),""))</f>
        <v/>
      </c>
      <c r="N40" s="121"/>
      <c r="O40" s="32"/>
      <c r="P40" s="119"/>
      <c r="Q40" s="120"/>
      <c r="R40" s="120"/>
      <c r="S40" s="121"/>
      <c r="T40" s="33"/>
      <c r="U40" s="33"/>
      <c r="V40" s="33"/>
      <c r="W40" s="33"/>
      <c r="X40" s="15"/>
      <c r="Y40" s="14"/>
      <c r="Z40" s="14"/>
      <c r="AA40" s="14"/>
      <c r="AB40" s="14"/>
      <c r="AC40" s="14"/>
      <c r="AD40" s="16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31"/>
      <c r="B41" s="205" t="str">
        <f>_xlfn.IFNA(VLOOKUP(A41,'Construction Sheet'!$A$3:$D$50,2,FALSE), "")</f>
        <v/>
      </c>
      <c r="C41" s="206"/>
      <c r="D41" s="206"/>
      <c r="E41" s="206"/>
      <c r="F41" s="207"/>
      <c r="G41" s="31" t="str">
        <f>_xlfn.IFNA(VLOOKUP(A41,'Construction Sheet'!$A$3:$D$50,3,FALSE),"")</f>
        <v/>
      </c>
      <c r="H41" s="31"/>
      <c r="I41" s="128" t="str">
        <f t="shared" si="0"/>
        <v/>
      </c>
      <c r="J41" s="124"/>
      <c r="K41" s="128" t="str">
        <f>IF($B41="","",IF($A41&gt;=1,IF($A41&lt;=33,VLOOKUP('Primary Operation 3'!$A41,'Construction Sheet'!$A$2:$F$35,5),""),""))</f>
        <v/>
      </c>
      <c r="L41" s="124"/>
      <c r="M41" s="128" t="str">
        <f>IF($B41="","",IF($A41&gt;=1,IF($A41&lt;=33,VLOOKUP('Primary Operation 3'!$A41,'Construction Sheet'!$A$2:$F$35,6),""),""))</f>
        <v/>
      </c>
      <c r="N41" s="124"/>
      <c r="O41" s="30"/>
      <c r="P41" s="122"/>
      <c r="Q41" s="123"/>
      <c r="R41" s="123"/>
      <c r="S41" s="124"/>
      <c r="T41" s="31"/>
      <c r="U41" s="31"/>
      <c r="V41" s="31"/>
      <c r="W41" s="31"/>
      <c r="X41" s="15"/>
      <c r="Y41" s="14"/>
      <c r="Z41" s="14"/>
      <c r="AA41" s="14"/>
      <c r="AB41" s="14"/>
      <c r="AC41" s="14"/>
      <c r="AD41" s="16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3"/>
      <c r="B42" s="199" t="str">
        <f>_xlfn.IFNA(VLOOKUP(A42,'Construction Sheet'!$A$3:$D$50,2,FALSE), "")</f>
        <v/>
      </c>
      <c r="C42" s="200"/>
      <c r="D42" s="200"/>
      <c r="E42" s="200"/>
      <c r="F42" s="201"/>
      <c r="G42" s="33" t="str">
        <f>_xlfn.IFNA(VLOOKUP(A42,'Construction Sheet'!$A$3:$D$50,3,FALSE),"")</f>
        <v/>
      </c>
      <c r="H42" s="33"/>
      <c r="I42" s="127" t="str">
        <f t="shared" si="0"/>
        <v/>
      </c>
      <c r="J42" s="121"/>
      <c r="K42" s="127" t="str">
        <f>IF($B42="","",IF($A42&gt;=1,IF($A42&lt;=33,VLOOKUP('Primary Operation 3'!$A42,'Construction Sheet'!$A$2:$F$35,5),""),""))</f>
        <v/>
      </c>
      <c r="L42" s="121"/>
      <c r="M42" s="127" t="str">
        <f>IF($B42="","",IF($A42&gt;=1,IF($A42&lt;=33,VLOOKUP('Primary Operation 3'!$A42,'Construction Sheet'!$A$2:$F$35,6),""),""))</f>
        <v/>
      </c>
      <c r="N42" s="121"/>
      <c r="O42" s="32"/>
      <c r="P42" s="119"/>
      <c r="Q42" s="120"/>
      <c r="R42" s="120"/>
      <c r="S42" s="121"/>
      <c r="T42" s="33"/>
      <c r="U42" s="33"/>
      <c r="V42" s="33"/>
      <c r="W42" s="33"/>
      <c r="X42" s="15"/>
      <c r="Y42" s="14"/>
      <c r="Z42" s="14"/>
      <c r="AA42" s="14"/>
      <c r="AB42" s="14"/>
      <c r="AC42" s="14"/>
      <c r="AD42" s="16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31"/>
      <c r="B43" s="205" t="str">
        <f>_xlfn.IFNA(VLOOKUP(A43,'Construction Sheet'!$A$3:$D$50,2,FALSE), "")</f>
        <v/>
      </c>
      <c r="C43" s="206"/>
      <c r="D43" s="206"/>
      <c r="E43" s="206"/>
      <c r="F43" s="207"/>
      <c r="G43" s="31" t="str">
        <f>_xlfn.IFNA(VLOOKUP(A43,'Construction Sheet'!$A$3:$D$50,3,FALSE),"")</f>
        <v/>
      </c>
      <c r="H43" s="31"/>
      <c r="I43" s="128" t="str">
        <f t="shared" si="0"/>
        <v/>
      </c>
      <c r="J43" s="124"/>
      <c r="K43" s="128" t="str">
        <f>IF($B43="","",IF($A43&gt;=1,IF($A43&lt;=33,VLOOKUP('Primary Operation 3'!$A43,'Construction Sheet'!$A$2:$F$35,5),""),""))</f>
        <v/>
      </c>
      <c r="L43" s="124"/>
      <c r="M43" s="128" t="str">
        <f>IF($B43="","",IF($A43&gt;=1,IF($A43&lt;=33,VLOOKUP('Primary Operation 3'!$A43,'Construction Sheet'!$A$2:$F$35,6),""),""))</f>
        <v/>
      </c>
      <c r="N43" s="124"/>
      <c r="O43" s="30"/>
      <c r="P43" s="122"/>
      <c r="Q43" s="123"/>
      <c r="R43" s="123"/>
      <c r="S43" s="124"/>
      <c r="T43" s="31"/>
      <c r="U43" s="31"/>
      <c r="V43" s="31"/>
      <c r="W43" s="31"/>
      <c r="X43" s="15"/>
      <c r="Y43" s="14"/>
      <c r="Z43" s="14"/>
      <c r="AA43" s="14"/>
      <c r="AB43" s="14"/>
      <c r="AC43" s="14"/>
      <c r="AD43" s="16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ht="15.75" thickBot="1" x14ac:dyDescent="0.3">
      <c r="A44" s="47"/>
      <c r="B44" s="208" t="str">
        <f>_xlfn.IFNA(VLOOKUP(A44,'Construction Sheet'!$A$3:$D$50,2,FALSE), "")</f>
        <v/>
      </c>
      <c r="C44" s="209"/>
      <c r="D44" s="209"/>
      <c r="E44" s="209"/>
      <c r="F44" s="210"/>
      <c r="G44" s="47" t="str">
        <f>_xlfn.IFNA(VLOOKUP(A44,'Construction Sheet'!$A$3:$D$50,3,FALSE),"")</f>
        <v/>
      </c>
      <c r="H44" s="47"/>
      <c r="I44" s="129" t="str">
        <f t="shared" si="0"/>
        <v/>
      </c>
      <c r="J44" s="130"/>
      <c r="K44" s="129" t="str">
        <f>IF($B44="","",IF($A44&gt;=1,IF($A44&lt;=33,VLOOKUP('Primary Operation 3'!$A44,'Construction Sheet'!$A$2:$F$35,5),""),""))</f>
        <v/>
      </c>
      <c r="L44" s="130"/>
      <c r="M44" s="129" t="str">
        <f>IF($B44="","",IF($A44&gt;=1,IF($A44&lt;=33,VLOOKUP('Primary Operation 3'!$A44,'Construction Sheet'!$A$2:$F$35,6),""),""))</f>
        <v/>
      </c>
      <c r="N44" s="130"/>
      <c r="O44" s="48"/>
      <c r="P44" s="131"/>
      <c r="Q44" s="132"/>
      <c r="R44" s="132"/>
      <c r="S44" s="130"/>
      <c r="T44" s="47"/>
      <c r="U44" s="47"/>
      <c r="V44" s="47"/>
      <c r="W44" s="47"/>
      <c r="X44" s="15"/>
      <c r="Y44" s="14"/>
      <c r="Z44" s="14"/>
      <c r="AA44" s="14"/>
      <c r="AB44" s="14"/>
      <c r="AC44" s="14"/>
      <c r="AD44" s="16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ht="15.75" thickBot="1" x14ac:dyDescent="0.3">
      <c r="A45" s="97" t="s">
        <v>53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9"/>
      <c r="T45" s="97" t="s">
        <v>54</v>
      </c>
      <c r="U45" s="99"/>
      <c r="V45" s="98" t="s">
        <v>55</v>
      </c>
      <c r="W45" s="99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</row>
    <row r="46" spans="1:46" ht="15" customHeight="1" x14ac:dyDescent="0.25">
      <c r="A46" s="91" t="s">
        <v>239</v>
      </c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3"/>
      <c r="T46" s="100"/>
      <c r="U46" s="101"/>
      <c r="V46" s="100"/>
      <c r="W46" s="101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</row>
    <row r="47" spans="1:46" ht="15" customHeight="1" x14ac:dyDescent="0.25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3"/>
      <c r="T47" s="100"/>
      <c r="U47" s="101"/>
      <c r="V47" s="100"/>
      <c r="W47" s="101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</row>
    <row r="48" spans="1:46" ht="15" customHeight="1" x14ac:dyDescent="0.25">
      <c r="A48" s="91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3"/>
      <c r="T48" s="100"/>
      <c r="U48" s="101"/>
      <c r="V48" s="100"/>
      <c r="W48" s="101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</row>
    <row r="49" spans="1:46" ht="15.75" customHeight="1" x14ac:dyDescent="0.25">
      <c r="A49" s="91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3"/>
      <c r="T49" s="100"/>
      <c r="U49" s="101"/>
      <c r="V49" s="100"/>
      <c r="W49" s="101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</row>
    <row r="50" spans="1:46" ht="15.75" customHeight="1" x14ac:dyDescent="0.25">
      <c r="A50" s="91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3"/>
      <c r="T50" s="100"/>
      <c r="U50" s="101"/>
      <c r="V50" s="100"/>
      <c r="W50" s="101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</row>
    <row r="51" spans="1:46" ht="15.75" customHeight="1" thickBot="1" x14ac:dyDescent="0.3">
      <c r="A51" s="94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102"/>
      <c r="U51" s="103"/>
      <c r="V51" s="102"/>
      <c r="W51" s="103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</row>
    <row r="52" spans="1:46" x14ac:dyDescent="0.25">
      <c r="A52" s="185" t="s">
        <v>190</v>
      </c>
      <c r="B52" s="185"/>
      <c r="C52" s="185"/>
      <c r="D52" s="78" t="str" cm="1">
        <f t="array" aca="1" ref="D52" ca="1">MID(CELL("filename",A1),FIND("[",CELL("filename",A1))+1,FIND(".xlsm",CELL("filename",A1))-FIND("[",CELL("filename",A1))-1)</f>
        <v>import_test</v>
      </c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 t="str">
        <f>IF(ISBLANK(Cover!D6),"",Cover!D6)</f>
        <v>26-0099</v>
      </c>
      <c r="V52" s="78"/>
      <c r="W52" s="78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</sheetData>
  <sheetProtection selectLockedCells="1"/>
  <mergeCells count="172">
    <mergeCell ref="T45:U45"/>
    <mergeCell ref="V45:W45"/>
    <mergeCell ref="A46:S51"/>
    <mergeCell ref="T46:U51"/>
    <mergeCell ref="V46:W51"/>
    <mergeCell ref="A52:C52"/>
    <mergeCell ref="D52:T52"/>
    <mergeCell ref="U52:W52"/>
    <mergeCell ref="B44:F44"/>
    <mergeCell ref="I44:J44"/>
    <mergeCell ref="K44:L44"/>
    <mergeCell ref="M44:N44"/>
    <mergeCell ref="P44:S44"/>
    <mergeCell ref="A45:S45"/>
    <mergeCell ref="B42:F42"/>
    <mergeCell ref="I42:J42"/>
    <mergeCell ref="K42:L42"/>
    <mergeCell ref="M42:N42"/>
    <mergeCell ref="P42:S42"/>
    <mergeCell ref="B43:F43"/>
    <mergeCell ref="I43:J43"/>
    <mergeCell ref="K43:L43"/>
    <mergeCell ref="M43:N43"/>
    <mergeCell ref="P43:S43"/>
    <mergeCell ref="B40:F40"/>
    <mergeCell ref="I40:J40"/>
    <mergeCell ref="K40:L40"/>
    <mergeCell ref="M40:N40"/>
    <mergeCell ref="P40:S40"/>
    <mergeCell ref="B41:F41"/>
    <mergeCell ref="I41:J41"/>
    <mergeCell ref="K41:L41"/>
    <mergeCell ref="M41:N41"/>
    <mergeCell ref="P41:S41"/>
    <mergeCell ref="B38:F38"/>
    <mergeCell ref="I38:J38"/>
    <mergeCell ref="K38:L38"/>
    <mergeCell ref="M38:N38"/>
    <mergeCell ref="P38:S38"/>
    <mergeCell ref="B39:F39"/>
    <mergeCell ref="I39:J39"/>
    <mergeCell ref="K39:L39"/>
    <mergeCell ref="M39:N39"/>
    <mergeCell ref="P39:S39"/>
    <mergeCell ref="B36:F36"/>
    <mergeCell ref="I36:J36"/>
    <mergeCell ref="K36:L36"/>
    <mergeCell ref="M36:N36"/>
    <mergeCell ref="P36:S36"/>
    <mergeCell ref="B37:F37"/>
    <mergeCell ref="I37:J37"/>
    <mergeCell ref="K37:L37"/>
    <mergeCell ref="M37:N37"/>
    <mergeCell ref="P37:S37"/>
    <mergeCell ref="B34:F34"/>
    <mergeCell ref="I34:J34"/>
    <mergeCell ref="K34:L34"/>
    <mergeCell ref="M34:N34"/>
    <mergeCell ref="P34:S34"/>
    <mergeCell ref="B35:F35"/>
    <mergeCell ref="I35:J35"/>
    <mergeCell ref="K35:L35"/>
    <mergeCell ref="M35:N35"/>
    <mergeCell ref="P35:S35"/>
    <mergeCell ref="B32:F32"/>
    <mergeCell ref="I32:J32"/>
    <mergeCell ref="K32:L32"/>
    <mergeCell ref="M32:N32"/>
    <mergeCell ref="P32:S32"/>
    <mergeCell ref="B33:F33"/>
    <mergeCell ref="I33:J33"/>
    <mergeCell ref="K33:L33"/>
    <mergeCell ref="M33:N33"/>
    <mergeCell ref="P33:S33"/>
    <mergeCell ref="B30:F30"/>
    <mergeCell ref="I30:J30"/>
    <mergeCell ref="K30:L30"/>
    <mergeCell ref="M30:N30"/>
    <mergeCell ref="P30:S30"/>
    <mergeCell ref="B31:F31"/>
    <mergeCell ref="I31:J31"/>
    <mergeCell ref="K31:L31"/>
    <mergeCell ref="M31:N31"/>
    <mergeCell ref="P31:S31"/>
    <mergeCell ref="A28:O28"/>
    <mergeCell ref="P28:W28"/>
    <mergeCell ref="B29:F29"/>
    <mergeCell ref="I29:J29"/>
    <mergeCell ref="K29:L29"/>
    <mergeCell ref="M29:N29"/>
    <mergeCell ref="P29:S29"/>
    <mergeCell ref="B26:F26"/>
    <mergeCell ref="H26:I26"/>
    <mergeCell ref="J26:K26"/>
    <mergeCell ref="M26:W27"/>
    <mergeCell ref="B27:F27"/>
    <mergeCell ref="H27:I27"/>
    <mergeCell ref="J27:K27"/>
    <mergeCell ref="B24:F24"/>
    <mergeCell ref="H24:I24"/>
    <mergeCell ref="J24:K24"/>
    <mergeCell ref="B25:F25"/>
    <mergeCell ref="H25:I25"/>
    <mergeCell ref="J25:K25"/>
    <mergeCell ref="A21:J21"/>
    <mergeCell ref="B22:F22"/>
    <mergeCell ref="H22:I22"/>
    <mergeCell ref="J22:K22"/>
    <mergeCell ref="B23:F23"/>
    <mergeCell ref="H23:I23"/>
    <mergeCell ref="J23:K23"/>
    <mergeCell ref="A19:B19"/>
    <mergeCell ref="C19:I19"/>
    <mergeCell ref="J19:K19"/>
    <mergeCell ref="A20:B20"/>
    <mergeCell ref="C20:I20"/>
    <mergeCell ref="J20:K20"/>
    <mergeCell ref="A17:B17"/>
    <mergeCell ref="C17:I17"/>
    <mergeCell ref="J17:K17"/>
    <mergeCell ref="A18:B18"/>
    <mergeCell ref="C18:I18"/>
    <mergeCell ref="J18:K18"/>
    <mergeCell ref="A14:L14"/>
    <mergeCell ref="A15:B15"/>
    <mergeCell ref="C15:I15"/>
    <mergeCell ref="J15:K15"/>
    <mergeCell ref="A16:B16"/>
    <mergeCell ref="C16:I16"/>
    <mergeCell ref="J16:K16"/>
    <mergeCell ref="B12:D12"/>
    <mergeCell ref="E12:H12"/>
    <mergeCell ref="I12:J12"/>
    <mergeCell ref="K12:L12"/>
    <mergeCell ref="B13:D13"/>
    <mergeCell ref="E13:F13"/>
    <mergeCell ref="G13:L13"/>
    <mergeCell ref="E11:H11"/>
    <mergeCell ref="I11:J11"/>
    <mergeCell ref="K11:L11"/>
    <mergeCell ref="B8:D8"/>
    <mergeCell ref="E8:H8"/>
    <mergeCell ref="I8:J8"/>
    <mergeCell ref="K8:L8"/>
    <mergeCell ref="B9:D9"/>
    <mergeCell ref="E9:H9"/>
    <mergeCell ref="I9:J9"/>
    <mergeCell ref="K9:L9"/>
    <mergeCell ref="A1:W2"/>
    <mergeCell ref="A3:L3"/>
    <mergeCell ref="M3:W3"/>
    <mergeCell ref="A4:B4"/>
    <mergeCell ref="C4:F4"/>
    <mergeCell ref="G4:H4"/>
    <mergeCell ref="I4:J4"/>
    <mergeCell ref="K4:L4"/>
    <mergeCell ref="M4:W25"/>
    <mergeCell ref="A5:B5"/>
    <mergeCell ref="C5:F5"/>
    <mergeCell ref="G5:H5"/>
    <mergeCell ref="I5:J5"/>
    <mergeCell ref="K5:L5"/>
    <mergeCell ref="A6:L6"/>
    <mergeCell ref="B7:D7"/>
    <mergeCell ref="E7:H7"/>
    <mergeCell ref="I7:J7"/>
    <mergeCell ref="K7:L7"/>
    <mergeCell ref="B10:D10"/>
    <mergeCell ref="E10:H10"/>
    <mergeCell ref="I10:J10"/>
    <mergeCell ref="K10:L10"/>
    <mergeCell ref="B11:D11"/>
  </mergeCells>
  <conditionalFormatting sqref="I30:I44">
    <cfRule type="notContainsText" dxfId="32" priority="5" operator="notContains" text="N/A">
      <formula>ISERROR(SEARCH("N/A",I30))</formula>
    </cfRule>
  </conditionalFormatting>
  <conditionalFormatting sqref="G30:G44">
    <cfRule type="expression" dxfId="31" priority="1">
      <formula>AND(IF($A30&gt;10,1),IF($A30&lt;18,1),IF($G30=".015",1))</formula>
    </cfRule>
    <cfRule type="expression" dxfId="30" priority="4">
      <formula>AND(IF($A30&gt;10,1),IF($A30&lt;18,1),IF($G30=".015r",1))</formula>
    </cfRule>
  </conditionalFormatting>
  <conditionalFormatting sqref="T46 V46">
    <cfRule type="notContainsText" dxfId="29" priority="2" operator="notContains" text="N/A">
      <formula>ISERROR(SEARCH("N/A",T46))</formula>
    </cfRule>
    <cfRule type="containsText" dxfId="28" priority="3" operator="containsText" text="N/A">
      <formula>NOT(ISERROR(SEARCH("N/A",T46)))</formula>
    </cfRule>
  </conditionalFormatting>
  <pageMargins left="0" right="0" top="0" bottom="0" header="0.3" footer="0.3"/>
  <pageSetup paperSize="17" orientation="landscape" r:id="rId1"/>
  <ignoredErrors>
    <ignoredError sqref="A4:W4 A6:W7 B5 L5:W5 A33:W44 B30:G30 C31:F31 B32:F32 I32:N32 D5:F5 H5 A11:W12 A8 C8:W8 A9 C9:W9 A10 C10:W10 A14:W29 A13 C13:F13 H13:W13 I31:J31 L31 N31 I30:N30 P30:W30 Q31:W31 P32:W3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300-000000000000}">
          <x14:formula1>
            <xm:f>'Construction Sheet'!$M$2:$M$3</xm:f>
          </x14:formula1>
          <xm:sqref>B11:D11</xm:sqref>
        </x14:dataValidation>
        <x14:dataValidation type="list" allowBlank="1" xr:uid="{00000000-0002-0000-0300-000001000000}">
          <x14:formula1>
            <xm:f>'Construction Sheet'!$N$2</xm:f>
          </x14:formula1>
          <xm:sqref>B12:D12</xm:sqref>
        </x14:dataValidation>
        <x14:dataValidation type="list" allowBlank="1" xr:uid="{00000000-0002-0000-0300-000002000000}">
          <x14:formula1>
            <xm:f>'Construction Sheet'!$G$2:$G$4</xm:f>
          </x14:formula1>
          <xm:sqref>B13</xm:sqref>
        </x14:dataValidation>
        <x14:dataValidation type="list" allowBlank="1" xr:uid="{00000000-0002-0000-0300-000003000000}">
          <x14:formula1>
            <xm:f>'Construction Sheet'!$I$2:$I$5</xm:f>
          </x14:formula1>
          <xm:sqref>G5</xm:sqref>
        </x14:dataValidation>
        <x14:dataValidation type="list" allowBlank="1" xr:uid="{00000000-0002-0000-0300-000004000000}">
          <x14:formula1>
            <xm:f>'Construction Sheet'!$K$2:$K$3</xm:f>
          </x14:formula1>
          <xm:sqref>B8:B9</xm:sqref>
        </x14:dataValidation>
        <x14:dataValidation type="list" allowBlank="1" xr:uid="{00000000-0002-0000-0300-000005000000}">
          <x14:formula1>
            <xm:f>'Construction Sheet'!$L$2:$L$4</xm:f>
          </x14:formula1>
          <xm:sqref>B10</xm:sqref>
        </x14:dataValidation>
        <x14:dataValidation type="list" allowBlank="1" xr:uid="{00000000-0002-0000-0300-000006000000}">
          <x14:formula1>
            <xm:f>'Construction Sheet'!$H$2:$H$5</xm:f>
          </x14:formula1>
          <xm:sqref>A5:B5</xm:sqref>
        </x14:dataValidation>
        <x14:dataValidation type="list" allowBlank="1" showInputMessage="1" xr:uid="{00000000-0002-0000-0300-000007000000}">
          <x14:formula1>
            <xm:f>'Construction Sheet'!$K$24</xm:f>
          </x14:formula1>
          <xm:sqref>I5:J5</xm:sqref>
        </x14:dataValidation>
        <x14:dataValidation type="list" allowBlank="1" showInputMessage="1" xr:uid="{00000000-0002-0000-0300-000008000000}">
          <x14:formula1>
            <xm:f>'Construction Sheet'!$H$32:$H$38</xm:f>
          </x14:formula1>
          <xm:sqref>K30:L44</xm:sqref>
        </x14:dataValidation>
        <x14:dataValidation type="list" allowBlank="1" showInputMessage="1" xr:uid="{00000000-0002-0000-0300-000009000000}">
          <x14:formula1>
            <xm:f>'Construction Sheet'!$I$32:$I$36</xm:f>
          </x14:formula1>
          <xm:sqref>M30:N44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theme="4"/>
  </sheetPr>
  <dimension ref="A1:K52"/>
  <sheetViews>
    <sheetView view="pageLayout" zoomScaleNormal="100" workbookViewId="0">
      <selection activeCell="A7" sqref="A7:K20"/>
    </sheetView>
  </sheetViews>
  <sheetFormatPr defaultRowHeight="15" x14ac:dyDescent="0.25"/>
  <cols>
    <col min="6" max="6" width="9.140625" customWidth="1"/>
  </cols>
  <sheetData>
    <row r="1" spans="1:11" x14ac:dyDescent="0.25">
      <c r="A1" s="212" t="s">
        <v>64</v>
      </c>
      <c r="B1" s="213"/>
      <c r="C1" s="213"/>
      <c r="D1" s="213"/>
      <c r="E1" s="213"/>
      <c r="F1" s="213"/>
      <c r="G1" s="213"/>
      <c r="H1" s="213"/>
      <c r="I1" s="213"/>
      <c r="J1" s="213"/>
      <c r="K1" s="214"/>
    </row>
    <row r="2" spans="1:11" x14ac:dyDescent="0.25">
      <c r="A2" s="215"/>
      <c r="B2" s="216"/>
      <c r="C2" s="216"/>
      <c r="D2" s="216"/>
      <c r="E2" s="216"/>
      <c r="F2" s="216"/>
      <c r="G2" s="216"/>
      <c r="H2" s="216"/>
      <c r="I2" s="216"/>
      <c r="J2" s="216"/>
      <c r="K2" s="217"/>
    </row>
    <row r="3" spans="1:11" ht="15.75" thickBot="1" x14ac:dyDescent="0.3">
      <c r="A3" s="218" t="s">
        <v>65</v>
      </c>
      <c r="B3" s="219"/>
      <c r="C3" s="219"/>
      <c r="D3" s="219"/>
      <c r="E3" s="219"/>
      <c r="F3" s="219"/>
      <c r="G3" s="219"/>
      <c r="H3" s="219"/>
      <c r="I3" s="219"/>
      <c r="J3" s="219"/>
      <c r="K3" s="220"/>
    </row>
    <row r="4" spans="1:11" x14ac:dyDescent="0.25">
      <c r="A4" s="221" t="s">
        <v>66</v>
      </c>
      <c r="B4" s="222"/>
      <c r="C4" s="223"/>
      <c r="D4" s="221" t="s">
        <v>67</v>
      </c>
      <c r="E4" s="222"/>
      <c r="F4" s="222"/>
      <c r="G4" s="222"/>
      <c r="H4" s="223"/>
      <c r="I4" s="221" t="s">
        <v>68</v>
      </c>
      <c r="J4" s="222"/>
      <c r="K4" s="223"/>
    </row>
    <row r="5" spans="1:11" ht="15.75" thickBot="1" x14ac:dyDescent="0.3">
      <c r="A5" s="233" t="s">
        <v>230</v>
      </c>
      <c r="B5" s="234"/>
      <c r="C5" s="235"/>
      <c r="D5" s="233" t="s">
        <v>230</v>
      </c>
      <c r="E5" s="234"/>
      <c r="F5" s="234"/>
      <c r="G5" s="234"/>
      <c r="H5" s="235"/>
      <c r="I5" s="233" t="s">
        <v>231</v>
      </c>
      <c r="J5" s="234"/>
      <c r="K5" s="235"/>
    </row>
    <row r="6" spans="1:11" ht="15.75" thickBot="1" x14ac:dyDescent="0.3">
      <c r="A6" s="224" t="s">
        <v>15</v>
      </c>
      <c r="B6" s="225"/>
      <c r="C6" s="225"/>
      <c r="D6" s="225"/>
      <c r="E6" s="225"/>
      <c r="F6" s="225"/>
      <c r="G6" s="225"/>
      <c r="H6" s="225"/>
      <c r="I6" s="225"/>
      <c r="J6" s="225"/>
      <c r="K6" s="226"/>
    </row>
    <row r="7" spans="1:11" x14ac:dyDescent="0.25">
      <c r="A7" s="227" t="s">
        <v>232</v>
      </c>
      <c r="B7" s="228"/>
      <c r="C7" s="228"/>
      <c r="D7" s="228"/>
      <c r="E7" s="228"/>
      <c r="F7" s="228"/>
      <c r="G7" s="228"/>
      <c r="H7" s="228"/>
      <c r="I7" s="228"/>
      <c r="J7" s="228"/>
      <c r="K7" s="229"/>
    </row>
    <row r="8" spans="1:11" x14ac:dyDescent="0.25">
      <c r="A8" s="230"/>
      <c r="B8" s="231"/>
      <c r="C8" s="231"/>
      <c r="D8" s="231"/>
      <c r="E8" s="231"/>
      <c r="F8" s="231"/>
      <c r="G8" s="231"/>
      <c r="H8" s="231"/>
      <c r="I8" s="231"/>
      <c r="J8" s="231"/>
      <c r="K8" s="232"/>
    </row>
    <row r="9" spans="1:11" x14ac:dyDescent="0.25">
      <c r="A9" s="230"/>
      <c r="B9" s="231"/>
      <c r="C9" s="231"/>
      <c r="D9" s="231"/>
      <c r="E9" s="231"/>
      <c r="F9" s="231"/>
      <c r="G9" s="231"/>
      <c r="H9" s="231"/>
      <c r="I9" s="231"/>
      <c r="J9" s="231"/>
      <c r="K9" s="232"/>
    </row>
    <row r="10" spans="1:11" x14ac:dyDescent="0.25">
      <c r="A10" s="230"/>
      <c r="B10" s="231"/>
      <c r="C10" s="231"/>
      <c r="D10" s="231"/>
      <c r="E10" s="231"/>
      <c r="F10" s="231"/>
      <c r="G10" s="231"/>
      <c r="H10" s="231"/>
      <c r="I10" s="231"/>
      <c r="J10" s="231"/>
      <c r="K10" s="232"/>
    </row>
    <row r="11" spans="1:11" x14ac:dyDescent="0.25">
      <c r="A11" s="230"/>
      <c r="B11" s="231"/>
      <c r="C11" s="231"/>
      <c r="D11" s="231"/>
      <c r="E11" s="231"/>
      <c r="F11" s="231"/>
      <c r="G11" s="231"/>
      <c r="H11" s="231"/>
      <c r="I11" s="231"/>
      <c r="J11" s="231"/>
      <c r="K11" s="232"/>
    </row>
    <row r="12" spans="1:11" x14ac:dyDescent="0.25">
      <c r="A12" s="230"/>
      <c r="B12" s="231"/>
      <c r="C12" s="231"/>
      <c r="D12" s="231"/>
      <c r="E12" s="231"/>
      <c r="F12" s="231"/>
      <c r="G12" s="231"/>
      <c r="H12" s="231"/>
      <c r="I12" s="231"/>
      <c r="J12" s="231"/>
      <c r="K12" s="232"/>
    </row>
    <row r="13" spans="1:11" x14ac:dyDescent="0.25">
      <c r="A13" s="230"/>
      <c r="B13" s="231"/>
      <c r="C13" s="231"/>
      <c r="D13" s="231"/>
      <c r="E13" s="231"/>
      <c r="F13" s="231"/>
      <c r="G13" s="231"/>
      <c r="H13" s="231"/>
      <c r="I13" s="231"/>
      <c r="J13" s="231"/>
      <c r="K13" s="232"/>
    </row>
    <row r="14" spans="1:11" x14ac:dyDescent="0.25">
      <c r="A14" s="230"/>
      <c r="B14" s="231"/>
      <c r="C14" s="231"/>
      <c r="D14" s="231"/>
      <c r="E14" s="231"/>
      <c r="F14" s="231"/>
      <c r="G14" s="231"/>
      <c r="H14" s="231"/>
      <c r="I14" s="231"/>
      <c r="J14" s="231"/>
      <c r="K14" s="232"/>
    </row>
    <row r="15" spans="1:11" x14ac:dyDescent="0.25">
      <c r="A15" s="230"/>
      <c r="B15" s="231"/>
      <c r="C15" s="231"/>
      <c r="D15" s="231"/>
      <c r="E15" s="231"/>
      <c r="F15" s="231"/>
      <c r="G15" s="231"/>
      <c r="H15" s="231"/>
      <c r="I15" s="231"/>
      <c r="J15" s="231"/>
      <c r="K15" s="232"/>
    </row>
    <row r="16" spans="1:11" x14ac:dyDescent="0.25">
      <c r="A16" s="230"/>
      <c r="B16" s="231"/>
      <c r="C16" s="231"/>
      <c r="D16" s="231"/>
      <c r="E16" s="231"/>
      <c r="F16" s="231"/>
      <c r="G16" s="231"/>
      <c r="H16" s="231"/>
      <c r="I16" s="231"/>
      <c r="J16" s="231"/>
      <c r="K16" s="232"/>
    </row>
    <row r="17" spans="1:11" x14ac:dyDescent="0.25">
      <c r="A17" s="230"/>
      <c r="B17" s="231"/>
      <c r="C17" s="231"/>
      <c r="D17" s="231"/>
      <c r="E17" s="231"/>
      <c r="F17" s="231"/>
      <c r="G17" s="231"/>
      <c r="H17" s="231"/>
      <c r="I17" s="231"/>
      <c r="J17" s="231"/>
      <c r="K17" s="232"/>
    </row>
    <row r="18" spans="1:11" x14ac:dyDescent="0.25">
      <c r="A18" s="230"/>
      <c r="B18" s="231"/>
      <c r="C18" s="231"/>
      <c r="D18" s="231"/>
      <c r="E18" s="231"/>
      <c r="F18" s="231"/>
      <c r="G18" s="231"/>
      <c r="H18" s="231"/>
      <c r="I18" s="231"/>
      <c r="J18" s="231"/>
      <c r="K18" s="232"/>
    </row>
    <row r="19" spans="1:11" x14ac:dyDescent="0.25">
      <c r="A19" s="230"/>
      <c r="B19" s="231"/>
      <c r="C19" s="231"/>
      <c r="D19" s="231"/>
      <c r="E19" s="231"/>
      <c r="F19" s="231"/>
      <c r="G19" s="231"/>
      <c r="H19" s="231"/>
      <c r="I19" s="231"/>
      <c r="J19" s="231"/>
      <c r="K19" s="232"/>
    </row>
    <row r="20" spans="1:11" x14ac:dyDescent="0.25">
      <c r="A20" s="230"/>
      <c r="B20" s="231"/>
      <c r="C20" s="231"/>
      <c r="D20" s="231"/>
      <c r="E20" s="231"/>
      <c r="F20" s="231"/>
      <c r="G20" s="231"/>
      <c r="H20" s="231"/>
      <c r="I20" s="231"/>
      <c r="J20" s="231"/>
      <c r="K20" s="232"/>
    </row>
    <row r="21" spans="1:11" x14ac:dyDescent="0.25">
      <c r="A21" s="239" t="s">
        <v>69</v>
      </c>
      <c r="B21" s="240"/>
      <c r="C21" s="240"/>
      <c r="D21" s="240"/>
      <c r="E21" s="240"/>
      <c r="F21" s="240"/>
      <c r="G21" s="240"/>
      <c r="H21" s="240"/>
      <c r="I21" s="240"/>
      <c r="J21" s="240"/>
      <c r="K21" s="241"/>
    </row>
    <row r="22" spans="1:11" x14ac:dyDescent="0.25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4"/>
    </row>
    <row r="23" spans="1:11" x14ac:dyDescent="0.25">
      <c r="A23" s="242"/>
      <c r="B23" s="243"/>
      <c r="C23" s="243"/>
      <c r="D23" s="243"/>
      <c r="E23" s="243"/>
      <c r="F23" s="243"/>
      <c r="G23" s="243"/>
      <c r="H23" s="243"/>
      <c r="I23" s="243"/>
      <c r="J23" s="243"/>
      <c r="K23" s="244"/>
    </row>
    <row r="24" spans="1:11" x14ac:dyDescent="0.25">
      <c r="A24" s="242"/>
      <c r="B24" s="243"/>
      <c r="C24" s="243"/>
      <c r="D24" s="243"/>
      <c r="E24" s="243"/>
      <c r="F24" s="243"/>
      <c r="G24" s="243"/>
      <c r="H24" s="243"/>
      <c r="I24" s="243"/>
      <c r="J24" s="243"/>
      <c r="K24" s="244"/>
    </row>
    <row r="25" spans="1:11" x14ac:dyDescent="0.25">
      <c r="A25" s="242"/>
      <c r="B25" s="243"/>
      <c r="C25" s="243"/>
      <c r="D25" s="243"/>
      <c r="E25" s="243"/>
      <c r="F25" s="243"/>
      <c r="G25" s="243"/>
      <c r="H25" s="243"/>
      <c r="I25" s="243"/>
      <c r="J25" s="243"/>
      <c r="K25" s="244"/>
    </row>
    <row r="26" spans="1:11" x14ac:dyDescent="0.25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4"/>
    </row>
    <row r="27" spans="1:11" x14ac:dyDescent="0.25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4"/>
    </row>
    <row r="28" spans="1:11" x14ac:dyDescent="0.25">
      <c r="A28" s="242"/>
      <c r="B28" s="243"/>
      <c r="C28" s="243"/>
      <c r="D28" s="243"/>
      <c r="E28" s="243"/>
      <c r="F28" s="243"/>
      <c r="G28" s="243"/>
      <c r="H28" s="243"/>
      <c r="I28" s="243"/>
      <c r="J28" s="243"/>
      <c r="K28" s="244"/>
    </row>
    <row r="29" spans="1:11" x14ac:dyDescent="0.25">
      <c r="A29" s="242"/>
      <c r="B29" s="243"/>
      <c r="C29" s="243"/>
      <c r="D29" s="243"/>
      <c r="E29" s="243"/>
      <c r="F29" s="243"/>
      <c r="G29" s="243"/>
      <c r="H29" s="243"/>
      <c r="I29" s="243"/>
      <c r="J29" s="243"/>
      <c r="K29" s="244"/>
    </row>
    <row r="30" spans="1:11" x14ac:dyDescent="0.25">
      <c r="A30" s="242"/>
      <c r="B30" s="243"/>
      <c r="C30" s="243"/>
      <c r="D30" s="243"/>
      <c r="E30" s="243"/>
      <c r="F30" s="243"/>
      <c r="G30" s="243"/>
      <c r="H30" s="243"/>
      <c r="I30" s="243"/>
      <c r="J30" s="243"/>
      <c r="K30" s="244"/>
    </row>
    <row r="31" spans="1:11" x14ac:dyDescent="0.25">
      <c r="A31" s="242"/>
      <c r="B31" s="243"/>
      <c r="C31" s="243"/>
      <c r="D31" s="243"/>
      <c r="E31" s="243"/>
      <c r="F31" s="243"/>
      <c r="G31" s="243"/>
      <c r="H31" s="243"/>
      <c r="I31" s="243"/>
      <c r="J31" s="243"/>
      <c r="K31" s="244"/>
    </row>
    <row r="32" spans="1:11" x14ac:dyDescent="0.25">
      <c r="A32" s="242"/>
      <c r="B32" s="243"/>
      <c r="C32" s="243"/>
      <c r="D32" s="243"/>
      <c r="E32" s="243"/>
      <c r="F32" s="243"/>
      <c r="G32" s="243"/>
      <c r="H32" s="243"/>
      <c r="I32" s="243"/>
      <c r="J32" s="243"/>
      <c r="K32" s="244"/>
    </row>
    <row r="33" spans="1:11" x14ac:dyDescent="0.25">
      <c r="A33" s="242"/>
      <c r="B33" s="243"/>
      <c r="C33" s="243"/>
      <c r="D33" s="243"/>
      <c r="E33" s="243"/>
      <c r="F33" s="243"/>
      <c r="G33" s="243"/>
      <c r="H33" s="243"/>
      <c r="I33" s="243"/>
      <c r="J33" s="243"/>
      <c r="K33" s="244"/>
    </row>
    <row r="34" spans="1:11" x14ac:dyDescent="0.25">
      <c r="A34" s="242"/>
      <c r="B34" s="243"/>
      <c r="C34" s="243"/>
      <c r="D34" s="243"/>
      <c r="E34" s="243"/>
      <c r="F34" s="243"/>
      <c r="G34" s="243"/>
      <c r="H34" s="243"/>
      <c r="I34" s="243"/>
      <c r="J34" s="243"/>
      <c r="K34" s="244"/>
    </row>
    <row r="35" spans="1:11" x14ac:dyDescent="0.25">
      <c r="A35" s="242"/>
      <c r="B35" s="243"/>
      <c r="C35" s="243"/>
      <c r="D35" s="243"/>
      <c r="E35" s="243"/>
      <c r="F35" s="243"/>
      <c r="G35" s="243"/>
      <c r="H35" s="243"/>
      <c r="I35" s="243"/>
      <c r="J35" s="243"/>
      <c r="K35" s="244"/>
    </row>
    <row r="36" spans="1:11" x14ac:dyDescent="0.25">
      <c r="A36" s="242"/>
      <c r="B36" s="243"/>
      <c r="C36" s="243"/>
      <c r="D36" s="243"/>
      <c r="E36" s="243"/>
      <c r="F36" s="243"/>
      <c r="G36" s="243"/>
      <c r="H36" s="243"/>
      <c r="I36" s="243"/>
      <c r="J36" s="243"/>
      <c r="K36" s="244"/>
    </row>
    <row r="37" spans="1:11" x14ac:dyDescent="0.25">
      <c r="A37" s="242"/>
      <c r="B37" s="243"/>
      <c r="C37" s="243"/>
      <c r="D37" s="243"/>
      <c r="E37" s="243"/>
      <c r="F37" s="243"/>
      <c r="G37" s="243"/>
      <c r="H37" s="243"/>
      <c r="I37" s="243"/>
      <c r="J37" s="243"/>
      <c r="K37" s="244"/>
    </row>
    <row r="38" spans="1:11" x14ac:dyDescent="0.25">
      <c r="A38" s="242"/>
      <c r="B38" s="243"/>
      <c r="C38" s="243"/>
      <c r="D38" s="243"/>
      <c r="E38" s="243"/>
      <c r="F38" s="243"/>
      <c r="G38" s="243"/>
      <c r="H38" s="243"/>
      <c r="I38" s="243"/>
      <c r="J38" s="243"/>
      <c r="K38" s="244"/>
    </row>
    <row r="39" spans="1:11" x14ac:dyDescent="0.25">
      <c r="A39" s="242"/>
      <c r="B39" s="243"/>
      <c r="C39" s="243"/>
      <c r="D39" s="243"/>
      <c r="E39" s="243"/>
      <c r="F39" s="243"/>
      <c r="G39" s="243"/>
      <c r="H39" s="243"/>
      <c r="I39" s="243"/>
      <c r="J39" s="243"/>
      <c r="K39" s="244"/>
    </row>
    <row r="40" spans="1:11" x14ac:dyDescent="0.25">
      <c r="A40" s="242"/>
      <c r="B40" s="243"/>
      <c r="C40" s="243"/>
      <c r="D40" s="243"/>
      <c r="E40" s="243"/>
      <c r="F40" s="243"/>
      <c r="G40" s="243"/>
      <c r="H40" s="243"/>
      <c r="I40" s="243"/>
      <c r="J40" s="243"/>
      <c r="K40" s="244"/>
    </row>
    <row r="41" spans="1:11" x14ac:dyDescent="0.25">
      <c r="A41" s="242"/>
      <c r="B41" s="243"/>
      <c r="C41" s="243"/>
      <c r="D41" s="243"/>
      <c r="E41" s="243"/>
      <c r="F41" s="243"/>
      <c r="G41" s="243"/>
      <c r="H41" s="243"/>
      <c r="I41" s="243"/>
      <c r="J41" s="243"/>
      <c r="K41" s="244"/>
    </row>
    <row r="42" spans="1:11" x14ac:dyDescent="0.25">
      <c r="A42" s="242"/>
      <c r="B42" s="243"/>
      <c r="C42" s="243"/>
      <c r="D42" s="243"/>
      <c r="E42" s="243"/>
      <c r="F42" s="243"/>
      <c r="G42" s="243"/>
      <c r="H42" s="243"/>
      <c r="I42" s="243"/>
      <c r="J42" s="243"/>
      <c r="K42" s="244"/>
    </row>
    <row r="43" spans="1:11" x14ac:dyDescent="0.25">
      <c r="A43" s="242"/>
      <c r="B43" s="243"/>
      <c r="C43" s="243"/>
      <c r="D43" s="243"/>
      <c r="E43" s="243"/>
      <c r="F43" s="243"/>
      <c r="G43" s="243"/>
      <c r="H43" s="243"/>
      <c r="I43" s="243"/>
      <c r="J43" s="243"/>
      <c r="K43" s="244"/>
    </row>
    <row r="44" spans="1:11" x14ac:dyDescent="0.25">
      <c r="A44" s="242"/>
      <c r="B44" s="243"/>
      <c r="C44" s="243"/>
      <c r="D44" s="243"/>
      <c r="E44" s="243"/>
      <c r="F44" s="243"/>
      <c r="G44" s="243"/>
      <c r="H44" s="243"/>
      <c r="I44" s="243"/>
      <c r="J44" s="243"/>
      <c r="K44" s="244"/>
    </row>
    <row r="45" spans="1:11" x14ac:dyDescent="0.25">
      <c r="A45" s="242"/>
      <c r="B45" s="243"/>
      <c r="C45" s="243"/>
      <c r="D45" s="243"/>
      <c r="E45" s="243"/>
      <c r="F45" s="243"/>
      <c r="G45" s="243"/>
      <c r="H45" s="243"/>
      <c r="I45" s="243"/>
      <c r="J45" s="243"/>
      <c r="K45" s="244"/>
    </row>
    <row r="46" spans="1:11" x14ac:dyDescent="0.25">
      <c r="A46" s="242"/>
      <c r="B46" s="243"/>
      <c r="C46" s="243"/>
      <c r="D46" s="243"/>
      <c r="E46" s="243"/>
      <c r="F46" s="243"/>
      <c r="G46" s="243"/>
      <c r="H46" s="243"/>
      <c r="I46" s="243"/>
      <c r="J46" s="243"/>
      <c r="K46" s="244"/>
    </row>
    <row r="47" spans="1:11" x14ac:dyDescent="0.25">
      <c r="A47" s="242"/>
      <c r="B47" s="243"/>
      <c r="C47" s="243"/>
      <c r="D47" s="243"/>
      <c r="E47" s="243"/>
      <c r="F47" s="243"/>
      <c r="G47" s="243"/>
      <c r="H47" s="243"/>
      <c r="I47" s="243"/>
      <c r="J47" s="243"/>
      <c r="K47" s="244"/>
    </row>
    <row r="48" spans="1:11" x14ac:dyDescent="0.25">
      <c r="A48" s="242"/>
      <c r="B48" s="243"/>
      <c r="C48" s="243"/>
      <c r="D48" s="243"/>
      <c r="E48" s="243"/>
      <c r="F48" s="243"/>
      <c r="G48" s="243"/>
      <c r="H48" s="243"/>
      <c r="I48" s="243"/>
      <c r="J48" s="243"/>
      <c r="K48" s="244"/>
    </row>
    <row r="49" spans="1:11" x14ac:dyDescent="0.25">
      <c r="A49" s="242"/>
      <c r="B49" s="243"/>
      <c r="C49" s="243"/>
      <c r="D49" s="243"/>
      <c r="E49" s="243"/>
      <c r="F49" s="243"/>
      <c r="G49" s="243"/>
      <c r="H49" s="243"/>
      <c r="I49" s="243"/>
      <c r="J49" s="243"/>
      <c r="K49" s="244"/>
    </row>
    <row r="50" spans="1:11" x14ac:dyDescent="0.25">
      <c r="A50" s="242"/>
      <c r="B50" s="243"/>
      <c r="C50" s="243"/>
      <c r="D50" s="243"/>
      <c r="E50" s="243"/>
      <c r="F50" s="243"/>
      <c r="G50" s="243"/>
      <c r="H50" s="243"/>
      <c r="I50" s="243"/>
      <c r="J50" s="243"/>
      <c r="K50" s="244"/>
    </row>
    <row r="51" spans="1:11" ht="15.75" thickBot="1" x14ac:dyDescent="0.3">
      <c r="A51" s="245"/>
      <c r="B51" s="246"/>
      <c r="C51" s="246"/>
      <c r="D51" s="246"/>
      <c r="E51" s="246"/>
      <c r="F51" s="246"/>
      <c r="G51" s="246"/>
      <c r="H51" s="246"/>
      <c r="I51" s="246"/>
      <c r="J51" s="246"/>
      <c r="K51" s="247"/>
    </row>
    <row r="52" spans="1:11" x14ac:dyDescent="0.25">
      <c r="A52" s="236" t="s">
        <v>190</v>
      </c>
      <c r="B52" s="236"/>
      <c r="C52" s="236"/>
      <c r="D52" s="238" t="str" cm="1">
        <f t="array" aca="1" ref="D52" ca="1">MID(CELL("filename",A1),FIND("[",CELL("filename",A1))+1,FIND(".xlsm",CELL("filename",A1))-FIND("[",CELL("filename",A1))-1)</f>
        <v>import_test</v>
      </c>
      <c r="E52" s="238"/>
      <c r="F52" s="238"/>
      <c r="G52" s="238"/>
      <c r="H52" s="238"/>
      <c r="I52" s="237" t="str">
        <f>IF(ISBLANK(Cover!D6),"",Cover!D6)</f>
        <v>26-0099</v>
      </c>
      <c r="J52" s="237"/>
      <c r="K52" s="237"/>
    </row>
  </sheetData>
  <mergeCells count="15">
    <mergeCell ref="A52:C52"/>
    <mergeCell ref="I52:K52"/>
    <mergeCell ref="D52:H52"/>
    <mergeCell ref="A21:K21"/>
    <mergeCell ref="A22:K51"/>
    <mergeCell ref="A1:K2"/>
    <mergeCell ref="A3:K3"/>
    <mergeCell ref="A4:C4"/>
    <mergeCell ref="A6:K6"/>
    <mergeCell ref="A7:K20"/>
    <mergeCell ref="A5:C5"/>
    <mergeCell ref="D5:H5"/>
    <mergeCell ref="I5:K5"/>
    <mergeCell ref="I4:K4"/>
    <mergeCell ref="D4:H4"/>
  </mergeCells>
  <pageMargins left="0" right="0" top="0" bottom="0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/>
  </sheetPr>
  <dimension ref="A1:AT52"/>
  <sheetViews>
    <sheetView view="pageLayout" zoomScaleNormal="100" workbookViewId="0">
      <selection activeCell="H33" sqref="H33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46" ht="12.75" customHeight="1" x14ac:dyDescent="0.25">
      <c r="A1" s="138" t="s">
        <v>58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5" customHeight="1" thickBot="1" x14ac:dyDescent="0.3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5.75" thickBot="1" x14ac:dyDescent="0.3">
      <c r="A3" s="165" t="s">
        <v>12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5"/>
      <c r="M3" s="165" t="s">
        <v>13</v>
      </c>
      <c r="N3" s="134"/>
      <c r="O3" s="134"/>
      <c r="P3" s="134"/>
      <c r="Q3" s="134"/>
      <c r="R3" s="134"/>
      <c r="S3" s="134"/>
      <c r="T3" s="134"/>
      <c r="U3" s="134"/>
      <c r="V3" s="134"/>
      <c r="W3" s="135"/>
      <c r="X3" s="12"/>
      <c r="Y3" s="13"/>
      <c r="Z3" s="13"/>
      <c r="AA3" s="13"/>
      <c r="AB3" s="13"/>
      <c r="AC3" s="13"/>
      <c r="AD3" s="12"/>
      <c r="AE3" s="13"/>
      <c r="AF3" s="13"/>
      <c r="AG3" s="13"/>
      <c r="AH3" s="13"/>
      <c r="AI3" s="13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8" t="s">
        <v>14</v>
      </c>
      <c r="B4" s="184"/>
      <c r="C4" s="148" t="s">
        <v>15</v>
      </c>
      <c r="D4" s="184"/>
      <c r="E4" s="184"/>
      <c r="F4" s="149"/>
      <c r="G4" s="148" t="s">
        <v>16</v>
      </c>
      <c r="H4" s="149"/>
      <c r="I4" s="148" t="s">
        <v>17</v>
      </c>
      <c r="J4" s="149"/>
      <c r="K4" s="148" t="s">
        <v>18</v>
      </c>
      <c r="L4" s="184"/>
      <c r="M4" s="178"/>
      <c r="N4" s="179"/>
      <c r="O4" s="179"/>
      <c r="P4" s="179"/>
      <c r="Q4" s="179"/>
      <c r="R4" s="179"/>
      <c r="S4" s="179"/>
      <c r="T4" s="179"/>
      <c r="U4" s="179"/>
      <c r="V4" s="179"/>
      <c r="W4" s="180"/>
      <c r="X4" s="15"/>
      <c r="Y4" s="14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.75" thickBot="1" x14ac:dyDescent="0.3">
      <c r="A5" s="160" t="s">
        <v>204</v>
      </c>
      <c r="B5" s="161"/>
      <c r="C5" s="157" t="s">
        <v>200</v>
      </c>
      <c r="D5" s="158"/>
      <c r="E5" s="158"/>
      <c r="F5" s="159"/>
      <c r="G5" s="160" t="s">
        <v>86</v>
      </c>
      <c r="H5" s="161"/>
      <c r="I5" s="160" t="s">
        <v>201</v>
      </c>
      <c r="J5" s="161"/>
      <c r="K5" s="160" t="s">
        <v>238</v>
      </c>
      <c r="L5" s="164"/>
      <c r="M5" s="181"/>
      <c r="N5" s="182"/>
      <c r="O5" s="182"/>
      <c r="P5" s="182"/>
      <c r="Q5" s="182"/>
      <c r="R5" s="182"/>
      <c r="S5" s="182"/>
      <c r="T5" s="182"/>
      <c r="U5" s="182"/>
      <c r="V5" s="182"/>
      <c r="W5" s="183"/>
      <c r="X5" s="15"/>
      <c r="Y5" s="14"/>
      <c r="Z5" s="14"/>
      <c r="AA5" s="14"/>
      <c r="AB5" s="14"/>
      <c r="AC5" s="14"/>
      <c r="AD5" s="16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ht="15.75" thickBot="1" x14ac:dyDescent="0.3">
      <c r="A6" s="162" t="s">
        <v>19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81"/>
      <c r="N6" s="182"/>
      <c r="O6" s="182"/>
      <c r="P6" s="182"/>
      <c r="Q6" s="182"/>
      <c r="R6" s="182"/>
      <c r="S6" s="182"/>
      <c r="T6" s="182"/>
      <c r="U6" s="182"/>
      <c r="V6" s="182"/>
      <c r="W6" s="183"/>
      <c r="X6" s="15"/>
      <c r="Y6" s="14"/>
      <c r="Z6" s="14"/>
      <c r="AA6" s="14"/>
      <c r="AB6" s="14"/>
      <c r="AC6" s="14"/>
      <c r="AD6" s="16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ht="15.75" thickBot="1" x14ac:dyDescent="0.3">
      <c r="A7" s="7" t="s">
        <v>20</v>
      </c>
      <c r="B7" s="140" t="s">
        <v>21</v>
      </c>
      <c r="C7" s="150"/>
      <c r="D7" s="141"/>
      <c r="E7" s="140" t="s">
        <v>22</v>
      </c>
      <c r="F7" s="150"/>
      <c r="G7" s="150"/>
      <c r="H7" s="141"/>
      <c r="I7" s="140" t="s">
        <v>23</v>
      </c>
      <c r="J7" s="141"/>
      <c r="K7" s="140" t="s">
        <v>24</v>
      </c>
      <c r="L7" s="150"/>
      <c r="M7" s="181"/>
      <c r="N7" s="182"/>
      <c r="O7" s="182"/>
      <c r="P7" s="182"/>
      <c r="Q7" s="182"/>
      <c r="R7" s="182"/>
      <c r="S7" s="182"/>
      <c r="T7" s="182"/>
      <c r="U7" s="182"/>
      <c r="V7" s="182"/>
      <c r="W7" s="183"/>
      <c r="X7" s="15"/>
      <c r="Y7" s="14"/>
      <c r="Z7" s="14"/>
      <c r="AA7" s="14"/>
      <c r="AB7" s="14"/>
      <c r="AC7" s="14"/>
      <c r="AD7" s="16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24" t="s">
        <v>25</v>
      </c>
      <c r="B8" s="211" t="s">
        <v>227</v>
      </c>
      <c r="C8" s="176"/>
      <c r="D8" s="177"/>
      <c r="E8" s="142"/>
      <c r="F8" s="151"/>
      <c r="G8" s="151"/>
      <c r="H8" s="143"/>
      <c r="I8" s="142"/>
      <c r="J8" s="173"/>
      <c r="K8" s="172"/>
      <c r="L8" s="143"/>
      <c r="M8" s="181"/>
      <c r="N8" s="182"/>
      <c r="O8" s="182"/>
      <c r="P8" s="182"/>
      <c r="Q8" s="182"/>
      <c r="R8" s="182"/>
      <c r="S8" s="182"/>
      <c r="T8" s="182"/>
      <c r="U8" s="182"/>
      <c r="V8" s="182"/>
      <c r="W8" s="183"/>
      <c r="X8" s="15"/>
      <c r="Y8" s="14"/>
      <c r="Z8" s="14"/>
      <c r="AA8" s="14"/>
      <c r="AB8" s="14"/>
      <c r="AC8" s="14"/>
      <c r="AD8" s="16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3" t="s">
        <v>26</v>
      </c>
      <c r="B9" s="128" t="s">
        <v>101</v>
      </c>
      <c r="C9" s="123"/>
      <c r="D9" s="124"/>
      <c r="E9" s="144"/>
      <c r="F9" s="152"/>
      <c r="G9" s="152"/>
      <c r="H9" s="145"/>
      <c r="I9" s="144"/>
      <c r="J9" s="174"/>
      <c r="K9" s="156"/>
      <c r="L9" s="145"/>
      <c r="M9" s="181"/>
      <c r="N9" s="182"/>
      <c r="O9" s="182"/>
      <c r="P9" s="182"/>
      <c r="Q9" s="182"/>
      <c r="R9" s="182"/>
      <c r="S9" s="182"/>
      <c r="T9" s="182"/>
      <c r="U9" s="182"/>
      <c r="V9" s="182"/>
      <c r="W9" s="183"/>
      <c r="X9" s="15"/>
      <c r="Y9" s="14"/>
      <c r="Z9" s="14"/>
      <c r="AA9" s="14"/>
      <c r="AB9" s="14"/>
      <c r="AC9" s="14"/>
      <c r="AD9" s="16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8" t="s">
        <v>27</v>
      </c>
      <c r="B10" s="127" t="s">
        <v>202</v>
      </c>
      <c r="C10" s="120"/>
      <c r="D10" s="121"/>
      <c r="E10" s="146"/>
      <c r="F10" s="153"/>
      <c r="G10" s="153"/>
      <c r="H10" s="147"/>
      <c r="I10" s="146"/>
      <c r="J10" s="188"/>
      <c r="K10" s="189"/>
      <c r="L10" s="147"/>
      <c r="M10" s="181"/>
      <c r="N10" s="182"/>
      <c r="O10" s="182"/>
      <c r="P10" s="182"/>
      <c r="Q10" s="182"/>
      <c r="R10" s="182"/>
      <c r="S10" s="182"/>
      <c r="T10" s="182"/>
      <c r="U10" s="182"/>
      <c r="V10" s="182"/>
      <c r="W10" s="183"/>
      <c r="X10" s="15"/>
      <c r="Y10" s="14"/>
      <c r="Z10" s="14"/>
      <c r="AA10" s="14"/>
      <c r="AB10" s="14"/>
      <c r="AC10" s="14"/>
      <c r="AD10" s="16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3" t="s">
        <v>28</v>
      </c>
      <c r="B11" s="128" t="str" cm="1">
        <f t="array" ref="B11">_xlfn.IFS(G5="VMC","N/A",G5="HBMX","",G5="Lathe","N/A",G5="VMC / Rotary A","",G5="","")</f>
        <v>N/A</v>
      </c>
      <c r="C11" s="123"/>
      <c r="D11" s="124"/>
      <c r="E11" s="144"/>
      <c r="F11" s="152"/>
      <c r="G11" s="152"/>
      <c r="H11" s="145"/>
      <c r="I11" s="144"/>
      <c r="J11" s="174"/>
      <c r="K11" s="156"/>
      <c r="L11" s="145"/>
      <c r="M11" s="181"/>
      <c r="N11" s="182"/>
      <c r="O11" s="182"/>
      <c r="P11" s="182"/>
      <c r="Q11" s="182"/>
      <c r="R11" s="182"/>
      <c r="S11" s="182"/>
      <c r="T11" s="182"/>
      <c r="U11" s="182"/>
      <c r="V11" s="182"/>
      <c r="W11" s="183"/>
      <c r="X11" s="15"/>
      <c r="Y11" s="14"/>
      <c r="Z11" s="14"/>
      <c r="AA11" s="14"/>
      <c r="AB11" s="14"/>
      <c r="AC11" s="14"/>
      <c r="AD11" s="16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ht="15.75" thickBot="1" x14ac:dyDescent="0.3">
      <c r="A12" s="25" t="s">
        <v>29</v>
      </c>
      <c r="B12" s="191" t="str" cm="1">
        <f t="array" ref="B12">_xlfn.IFS(G5="VMC","N/A",G5="HBMX","",G5="Lathe","N/A",G5="VMC / Rotary A","N/A",G5="","")</f>
        <v>N/A</v>
      </c>
      <c r="C12" s="192"/>
      <c r="D12" s="193"/>
      <c r="E12" s="186"/>
      <c r="F12" s="190"/>
      <c r="G12" s="190"/>
      <c r="H12" s="155"/>
      <c r="I12" s="186"/>
      <c r="J12" s="187"/>
      <c r="K12" s="154"/>
      <c r="L12" s="155"/>
      <c r="M12" s="181"/>
      <c r="N12" s="182"/>
      <c r="O12" s="182"/>
      <c r="P12" s="182"/>
      <c r="Q12" s="182"/>
      <c r="R12" s="182"/>
      <c r="S12" s="182"/>
      <c r="T12" s="182"/>
      <c r="U12" s="182"/>
      <c r="V12" s="182"/>
      <c r="W12" s="183"/>
      <c r="X12" s="15"/>
      <c r="Y12" s="14"/>
      <c r="Z12" s="14"/>
      <c r="AA12" s="14"/>
      <c r="AB12" s="14"/>
      <c r="AC12" s="14"/>
      <c r="AD12" s="16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ht="15.75" thickBot="1" x14ac:dyDescent="0.3">
      <c r="A13" s="7" t="s">
        <v>30</v>
      </c>
      <c r="B13" s="194" t="s">
        <v>84</v>
      </c>
      <c r="C13" s="195"/>
      <c r="D13" s="204"/>
      <c r="E13" s="202" t="s">
        <v>31</v>
      </c>
      <c r="F13" s="203"/>
      <c r="G13" s="194" t="s">
        <v>228</v>
      </c>
      <c r="H13" s="195"/>
      <c r="I13" s="195"/>
      <c r="J13" s="195"/>
      <c r="K13" s="195"/>
      <c r="L13" s="195"/>
      <c r="M13" s="181"/>
      <c r="N13" s="182"/>
      <c r="O13" s="182"/>
      <c r="P13" s="182"/>
      <c r="Q13" s="182"/>
      <c r="R13" s="182"/>
      <c r="S13" s="182"/>
      <c r="T13" s="182"/>
      <c r="U13" s="182"/>
      <c r="V13" s="182"/>
      <c r="W13" s="183"/>
      <c r="X13" s="15"/>
      <c r="Y13" s="14"/>
      <c r="Z13" s="14"/>
      <c r="AA13" s="14"/>
      <c r="AB13" s="14"/>
      <c r="AC13" s="14"/>
      <c r="AD13" s="16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ht="15.75" thickBot="1" x14ac:dyDescent="0.3">
      <c r="A14" s="165" t="s">
        <v>32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5"/>
      <c r="M14" s="181"/>
      <c r="N14" s="182"/>
      <c r="O14" s="182"/>
      <c r="P14" s="182"/>
      <c r="Q14" s="182"/>
      <c r="R14" s="182"/>
      <c r="S14" s="182"/>
      <c r="T14" s="182"/>
      <c r="U14" s="182"/>
      <c r="V14" s="182"/>
      <c r="W14" s="183"/>
      <c r="X14" s="15"/>
      <c r="Y14" s="14"/>
      <c r="Z14" s="14"/>
      <c r="AA14" s="14"/>
      <c r="AB14" s="14"/>
      <c r="AC14" s="14"/>
      <c r="AD14" s="16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ht="15.75" thickBot="1" x14ac:dyDescent="0.3">
      <c r="A15" s="140" t="s">
        <v>17</v>
      </c>
      <c r="B15" s="141"/>
      <c r="C15" s="150" t="s">
        <v>33</v>
      </c>
      <c r="D15" s="150"/>
      <c r="E15" s="150"/>
      <c r="F15" s="150"/>
      <c r="G15" s="150"/>
      <c r="H15" s="150"/>
      <c r="I15" s="141"/>
      <c r="J15" s="104" t="s">
        <v>34</v>
      </c>
      <c r="K15" s="106"/>
      <c r="L15" s="22" t="s">
        <v>35</v>
      </c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3"/>
      <c r="X15" s="15"/>
      <c r="Y15" s="14"/>
      <c r="Z15" s="14"/>
      <c r="AA15" s="14"/>
      <c r="AB15" s="14"/>
      <c r="AC15" s="14"/>
      <c r="AD15" s="16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2"/>
      <c r="B16" s="143"/>
      <c r="C16" s="151"/>
      <c r="D16" s="151"/>
      <c r="E16" s="151"/>
      <c r="F16" s="151"/>
      <c r="G16" s="151"/>
      <c r="H16" s="151"/>
      <c r="I16" s="143"/>
      <c r="J16" s="107"/>
      <c r="K16" s="109"/>
      <c r="L16" s="6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3"/>
      <c r="X16" s="15"/>
      <c r="Y16" s="14"/>
      <c r="Z16" s="14"/>
      <c r="AA16" s="14"/>
      <c r="AB16" s="14"/>
      <c r="AC16" s="14"/>
      <c r="AD16" s="16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4"/>
      <c r="B17" s="145"/>
      <c r="C17" s="152"/>
      <c r="D17" s="152"/>
      <c r="E17" s="152"/>
      <c r="F17" s="152"/>
      <c r="G17" s="152"/>
      <c r="H17" s="152"/>
      <c r="I17" s="145"/>
      <c r="J17" s="110"/>
      <c r="K17" s="112"/>
      <c r="L17" s="4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3"/>
      <c r="X17" s="15"/>
      <c r="Y17" s="14"/>
      <c r="Z17" s="14"/>
      <c r="AA17" s="14"/>
      <c r="AB17" s="14"/>
      <c r="AC17" s="14"/>
      <c r="AD17" s="16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146"/>
      <c r="B18" s="147"/>
      <c r="C18" s="153"/>
      <c r="D18" s="153"/>
      <c r="E18" s="153"/>
      <c r="F18" s="153"/>
      <c r="G18" s="153"/>
      <c r="H18" s="153"/>
      <c r="I18" s="147"/>
      <c r="J18" s="113"/>
      <c r="K18" s="115"/>
      <c r="L18" s="5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3"/>
      <c r="X18" s="15"/>
      <c r="Y18" s="14"/>
      <c r="Z18" s="14"/>
      <c r="AA18" s="14"/>
      <c r="AB18" s="14"/>
      <c r="AC18" s="14"/>
      <c r="AD18" s="16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144"/>
      <c r="B19" s="145"/>
      <c r="C19" s="152"/>
      <c r="D19" s="152"/>
      <c r="E19" s="152"/>
      <c r="F19" s="152"/>
      <c r="G19" s="152"/>
      <c r="H19" s="152"/>
      <c r="I19" s="145"/>
      <c r="J19" s="110"/>
      <c r="K19" s="112"/>
      <c r="L19" s="4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3"/>
      <c r="X19" s="15"/>
      <c r="Y19" s="14"/>
      <c r="Z19" s="14"/>
      <c r="AA19" s="14"/>
      <c r="AB19" s="14"/>
      <c r="AC19" s="14"/>
      <c r="AD19" s="16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ht="15.75" thickBot="1" x14ac:dyDescent="0.3">
      <c r="A20" s="146"/>
      <c r="B20" s="147"/>
      <c r="C20" s="153"/>
      <c r="D20" s="153"/>
      <c r="E20" s="153"/>
      <c r="F20" s="153"/>
      <c r="G20" s="153"/>
      <c r="H20" s="153"/>
      <c r="I20" s="147"/>
      <c r="J20" s="113"/>
      <c r="K20" s="115"/>
      <c r="L20" s="5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3"/>
      <c r="X20" s="15"/>
      <c r="Y20" s="14"/>
      <c r="Z20" s="14"/>
      <c r="AA20" s="14"/>
      <c r="AB20" s="14"/>
      <c r="AC20" s="14"/>
      <c r="AD20" s="16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5.75" thickBot="1" x14ac:dyDescent="0.3">
      <c r="A21" s="162" t="s">
        <v>36</v>
      </c>
      <c r="B21" s="196"/>
      <c r="C21" s="196"/>
      <c r="D21" s="196"/>
      <c r="E21" s="196"/>
      <c r="F21" s="196"/>
      <c r="G21" s="163"/>
      <c r="H21" s="163"/>
      <c r="I21" s="163"/>
      <c r="J21" s="197"/>
      <c r="K21" s="49"/>
      <c r="L21" s="50"/>
      <c r="M21" s="181"/>
      <c r="N21" s="182"/>
      <c r="O21" s="182"/>
      <c r="P21" s="182"/>
      <c r="Q21" s="182"/>
      <c r="R21" s="182"/>
      <c r="S21" s="182"/>
      <c r="T21" s="182"/>
      <c r="U21" s="182"/>
      <c r="V21" s="182"/>
      <c r="W21" s="183"/>
      <c r="X21" s="15"/>
      <c r="Y21" s="14"/>
      <c r="Z21" s="14"/>
      <c r="AA21" s="14"/>
      <c r="AB21" s="14"/>
      <c r="AC21" s="14"/>
      <c r="AD21" s="16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ht="15.75" thickBot="1" x14ac:dyDescent="0.3">
      <c r="A22" s="40" t="s">
        <v>37</v>
      </c>
      <c r="B22" s="104" t="s">
        <v>17</v>
      </c>
      <c r="C22" s="105"/>
      <c r="D22" s="105"/>
      <c r="E22" s="105"/>
      <c r="F22" s="106"/>
      <c r="G22" s="43" t="s">
        <v>38</v>
      </c>
      <c r="H22" s="140" t="s">
        <v>39</v>
      </c>
      <c r="I22" s="141"/>
      <c r="J22" s="140" t="s">
        <v>34</v>
      </c>
      <c r="K22" s="141"/>
      <c r="L22" s="41" t="s">
        <v>35</v>
      </c>
      <c r="M22" s="181"/>
      <c r="N22" s="182"/>
      <c r="O22" s="182"/>
      <c r="P22" s="182"/>
      <c r="Q22" s="182"/>
      <c r="R22" s="182"/>
      <c r="S22" s="182"/>
      <c r="T22" s="182"/>
      <c r="U22" s="182"/>
      <c r="V22" s="182"/>
      <c r="W22" s="183"/>
      <c r="X22" s="15"/>
      <c r="Y22" s="14"/>
      <c r="Z22" s="14"/>
      <c r="AA22" s="14"/>
      <c r="AB22" s="14"/>
      <c r="AC22" s="14"/>
      <c r="AD22" s="16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26">
        <v>1</v>
      </c>
      <c r="B23" s="107"/>
      <c r="C23" s="108"/>
      <c r="D23" s="108"/>
      <c r="E23" s="108"/>
      <c r="F23" s="109"/>
      <c r="G23" s="34"/>
      <c r="H23" s="142"/>
      <c r="I23" s="143"/>
      <c r="J23" s="142"/>
      <c r="K23" s="143"/>
      <c r="L23" s="51"/>
      <c r="M23" s="181"/>
      <c r="N23" s="182"/>
      <c r="O23" s="182"/>
      <c r="P23" s="182"/>
      <c r="Q23" s="182"/>
      <c r="R23" s="182"/>
      <c r="S23" s="182"/>
      <c r="T23" s="182"/>
      <c r="U23" s="182"/>
      <c r="V23" s="182"/>
      <c r="W23" s="183"/>
      <c r="X23" s="15"/>
      <c r="Y23" s="14"/>
      <c r="Z23" s="14"/>
      <c r="AA23" s="14"/>
      <c r="AB23" s="14"/>
      <c r="AC23" s="14"/>
      <c r="AD23" s="16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27">
        <v>2</v>
      </c>
      <c r="B24" s="110"/>
      <c r="C24" s="111"/>
      <c r="D24" s="111"/>
      <c r="E24" s="111"/>
      <c r="F24" s="112"/>
      <c r="G24" s="44"/>
      <c r="H24" s="144"/>
      <c r="I24" s="145"/>
      <c r="J24" s="144"/>
      <c r="K24" s="145"/>
      <c r="L24" s="42"/>
      <c r="M24" s="181"/>
      <c r="N24" s="182"/>
      <c r="O24" s="182"/>
      <c r="P24" s="182"/>
      <c r="Q24" s="182"/>
      <c r="R24" s="182"/>
      <c r="S24" s="182"/>
      <c r="T24" s="182"/>
      <c r="U24" s="182"/>
      <c r="V24" s="182"/>
      <c r="W24" s="183"/>
      <c r="X24" s="15"/>
      <c r="Y24" s="14"/>
      <c r="Z24" s="14"/>
      <c r="AA24" s="14"/>
      <c r="AB24" s="14"/>
      <c r="AC24" s="14"/>
      <c r="AD24" s="16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28">
        <v>3</v>
      </c>
      <c r="B25" s="113"/>
      <c r="C25" s="114"/>
      <c r="D25" s="114"/>
      <c r="E25" s="114"/>
      <c r="F25" s="115"/>
      <c r="G25" s="38"/>
      <c r="H25" s="146"/>
      <c r="I25" s="147"/>
      <c r="J25" s="146"/>
      <c r="K25" s="147"/>
      <c r="L25" s="39"/>
      <c r="M25" s="181"/>
      <c r="N25" s="182"/>
      <c r="O25" s="182"/>
      <c r="P25" s="182"/>
      <c r="Q25" s="182"/>
      <c r="R25" s="182"/>
      <c r="S25" s="182"/>
      <c r="T25" s="182"/>
      <c r="U25" s="182"/>
      <c r="V25" s="182"/>
      <c r="W25" s="183"/>
      <c r="X25" s="15"/>
      <c r="Y25" s="14"/>
      <c r="Z25" s="14"/>
      <c r="AA25" s="14"/>
      <c r="AB25" s="14"/>
      <c r="AC25" s="14"/>
      <c r="AD25" s="16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ht="15" customHeight="1" x14ac:dyDescent="0.25">
      <c r="A26" s="27">
        <v>4</v>
      </c>
      <c r="B26" s="110"/>
      <c r="C26" s="111"/>
      <c r="D26" s="111"/>
      <c r="E26" s="111"/>
      <c r="F26" s="112"/>
      <c r="G26" s="44"/>
      <c r="H26" s="144"/>
      <c r="I26" s="145"/>
      <c r="J26" s="144"/>
      <c r="K26" s="145"/>
      <c r="L26" s="42"/>
      <c r="M26" s="166" t="s">
        <v>40</v>
      </c>
      <c r="N26" s="167"/>
      <c r="O26" s="167"/>
      <c r="P26" s="167"/>
      <c r="Q26" s="167"/>
      <c r="R26" s="167"/>
      <c r="S26" s="167"/>
      <c r="T26" s="167"/>
      <c r="U26" s="167"/>
      <c r="V26" s="167"/>
      <c r="W26" s="168"/>
      <c r="X26" s="15"/>
      <c r="Y26" s="14"/>
      <c r="Z26" s="14"/>
      <c r="AA26" s="14"/>
      <c r="AB26" s="14"/>
      <c r="AC26" s="14"/>
      <c r="AD26" s="16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ht="15.75" customHeight="1" thickBot="1" x14ac:dyDescent="0.3">
      <c r="A27" s="29">
        <v>5</v>
      </c>
      <c r="B27" s="116"/>
      <c r="C27" s="117"/>
      <c r="D27" s="117"/>
      <c r="E27" s="117"/>
      <c r="F27" s="118"/>
      <c r="G27" s="46"/>
      <c r="H27" s="186"/>
      <c r="I27" s="155"/>
      <c r="J27" s="186"/>
      <c r="K27" s="155"/>
      <c r="L27" s="45"/>
      <c r="M27" s="169"/>
      <c r="N27" s="170"/>
      <c r="O27" s="170"/>
      <c r="P27" s="170"/>
      <c r="Q27" s="170"/>
      <c r="R27" s="170"/>
      <c r="S27" s="170"/>
      <c r="T27" s="170"/>
      <c r="U27" s="170"/>
      <c r="V27" s="170"/>
      <c r="W27" s="171"/>
      <c r="X27" s="15"/>
      <c r="Y27" s="14"/>
      <c r="Z27" s="14"/>
      <c r="AA27" s="14"/>
      <c r="AB27" s="14"/>
      <c r="AC27" s="14"/>
      <c r="AD27" s="16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ht="15.75" thickBot="1" x14ac:dyDescent="0.3">
      <c r="A28" s="165" t="s">
        <v>41</v>
      </c>
      <c r="B28" s="198"/>
      <c r="C28" s="198"/>
      <c r="D28" s="198"/>
      <c r="E28" s="198"/>
      <c r="F28" s="198"/>
      <c r="G28" s="134"/>
      <c r="H28" s="134"/>
      <c r="I28" s="134"/>
      <c r="J28" s="134"/>
      <c r="K28" s="134"/>
      <c r="L28" s="134"/>
      <c r="M28" s="134"/>
      <c r="N28" s="134"/>
      <c r="O28" s="134"/>
      <c r="P28" s="133" t="s">
        <v>42</v>
      </c>
      <c r="Q28" s="134"/>
      <c r="R28" s="134"/>
      <c r="S28" s="134"/>
      <c r="T28" s="134"/>
      <c r="U28" s="134"/>
      <c r="V28" s="134"/>
      <c r="W28" s="135"/>
      <c r="X28" s="15"/>
      <c r="Y28" s="14"/>
      <c r="Z28" s="14"/>
      <c r="AA28" s="14"/>
      <c r="AB28" s="14"/>
      <c r="AC28" s="14"/>
      <c r="AD28" s="16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6" t="s">
        <v>38</v>
      </c>
      <c r="B29" s="178" t="s">
        <v>43</v>
      </c>
      <c r="C29" s="179"/>
      <c r="D29" s="179"/>
      <c r="E29" s="179"/>
      <c r="F29" s="180"/>
      <c r="G29" s="35" t="s">
        <v>44</v>
      </c>
      <c r="H29" s="36" t="s">
        <v>45</v>
      </c>
      <c r="I29" s="125" t="s">
        <v>46</v>
      </c>
      <c r="J29" s="126"/>
      <c r="K29" s="125" t="s">
        <v>47</v>
      </c>
      <c r="L29" s="126"/>
      <c r="M29" s="125" t="s">
        <v>48</v>
      </c>
      <c r="N29" s="126"/>
      <c r="O29" s="10" t="s">
        <v>49</v>
      </c>
      <c r="P29" s="136" t="s">
        <v>50</v>
      </c>
      <c r="Q29" s="137"/>
      <c r="R29" s="137"/>
      <c r="S29" s="126"/>
      <c r="T29" s="36" t="s">
        <v>51</v>
      </c>
      <c r="U29" s="36" t="s">
        <v>52</v>
      </c>
      <c r="V29" s="36" t="s">
        <v>35</v>
      </c>
      <c r="W29" s="35" t="s">
        <v>24</v>
      </c>
      <c r="X29" s="15"/>
      <c r="Y29" s="14"/>
      <c r="Z29" s="14"/>
      <c r="AA29" s="14"/>
      <c r="AB29" s="14"/>
      <c r="AC29" s="14"/>
      <c r="AD29" s="16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3">
        <v>50</v>
      </c>
      <c r="B30" s="199" t="s">
        <v>223</v>
      </c>
      <c r="C30" s="200"/>
      <c r="D30" s="200"/>
      <c r="E30" s="200"/>
      <c r="F30" s="201"/>
      <c r="G30" s="33" t="s">
        <v>194</v>
      </c>
      <c r="H30" s="33" t="s">
        <v>94</v>
      </c>
      <c r="I30" s="127" t="str">
        <f>IF($B30="","",IF(10&lt;$A30,IF($A30&lt;18,".002","N/A"),"N/A"))</f>
        <v>N/A</v>
      </c>
      <c r="J30" s="121"/>
      <c r="K30" s="127" t="s">
        <v>173</v>
      </c>
      <c r="L30" s="121"/>
      <c r="M30" s="127" t="s">
        <v>128</v>
      </c>
      <c r="N30" s="121"/>
      <c r="O30" s="32" t="s">
        <v>229</v>
      </c>
      <c r="P30" s="119"/>
      <c r="Q30" s="120"/>
      <c r="R30" s="120"/>
      <c r="S30" s="121"/>
      <c r="T30" s="33"/>
      <c r="U30" s="33"/>
      <c r="V30" s="33"/>
      <c r="W30" s="33"/>
      <c r="X30" s="15"/>
      <c r="Y30" s="14"/>
      <c r="Z30" s="14"/>
      <c r="AA30" s="14"/>
      <c r="AB30" s="14"/>
      <c r="AC30" s="14"/>
      <c r="AD30" s="16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ht="15" customHeight="1" x14ac:dyDescent="0.25">
      <c r="A31" s="31">
        <v>13</v>
      </c>
      <c r="B31" s="205" t="str">
        <f>_xlfn.IFNA(VLOOKUP(A31,'Construction Sheet'!$A$3:$D$50,2,FALSE), "")</f>
        <v>ø1/2" Millstar / OSG Bullmill</v>
      </c>
      <c r="C31" s="206"/>
      <c r="D31" s="206"/>
      <c r="E31" s="206"/>
      <c r="F31" s="207"/>
      <c r="G31" s="31" t="s">
        <v>195</v>
      </c>
      <c r="H31" s="31" t="s">
        <v>126</v>
      </c>
      <c r="I31" s="128" t="str">
        <f t="shared" ref="I31:I44" si="0">IF($B31="","",IF(10&lt;$A31,IF($A31&lt;18,".002","N/A"),"N/A"))</f>
        <v>.002</v>
      </c>
      <c r="J31" s="124"/>
      <c r="K31" s="128" t="str">
        <f>IF($B31="","",IF($A31&gt;=1,IF($A31&lt;=33,VLOOKUP('Primary Operation 4'!$A31,'Construction Sheet'!$A$2:$F$35,5),""),""))</f>
        <v>Collet / Shrinkfit</v>
      </c>
      <c r="L31" s="124"/>
      <c r="M31" s="128" t="str">
        <f>IF($B31="","",IF($A31&gt;=1,IF($A31&lt;=33,VLOOKUP('Primary Operation 4'!$A31,'Construction Sheet'!$A$2:$F$35,6),""),""))</f>
        <v>Flood Coolant</v>
      </c>
      <c r="N31" s="124"/>
      <c r="O31" s="30" t="s">
        <v>237</v>
      </c>
      <c r="P31" s="122"/>
      <c r="Q31" s="123"/>
      <c r="R31" s="123"/>
      <c r="S31" s="124"/>
      <c r="T31" s="31"/>
      <c r="U31" s="31"/>
      <c r="V31" s="31"/>
      <c r="W31" s="31"/>
      <c r="X31" s="15"/>
      <c r="Y31" s="14"/>
      <c r="Z31" s="14"/>
      <c r="AA31" s="14"/>
      <c r="AB31" s="14"/>
      <c r="AC31" s="14"/>
      <c r="AD31" s="16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3"/>
      <c r="B32" s="199" t="str">
        <f>_xlfn.IFNA(VLOOKUP(A32,'Construction Sheet'!$A$3:$D$50,2,FALSE), "")</f>
        <v/>
      </c>
      <c r="C32" s="200"/>
      <c r="D32" s="200"/>
      <c r="E32" s="200"/>
      <c r="F32" s="201"/>
      <c r="G32" s="33" t="str">
        <f>_xlfn.IFNA(VLOOKUP(A32,'Construction Sheet'!$A$3:$D$50,3,FALSE),"")</f>
        <v/>
      </c>
      <c r="H32" s="33"/>
      <c r="I32" s="127" t="str">
        <f t="shared" si="0"/>
        <v/>
      </c>
      <c r="J32" s="121"/>
      <c r="K32" s="127" t="str">
        <f>IF($B32="","",IF($A32&gt;=1,IF($A32&lt;=33,VLOOKUP('Primary Operation 4'!$A32,'Construction Sheet'!$A$2:$F$35,5),""),""))</f>
        <v/>
      </c>
      <c r="L32" s="121"/>
      <c r="M32" s="127" t="str">
        <f>IF($B32="","",IF($A32&gt;=1,IF($A32&lt;=33,VLOOKUP('Primary Operation 4'!$A32,'Construction Sheet'!$A$2:$F$35,6),""),""))</f>
        <v/>
      </c>
      <c r="N32" s="121"/>
      <c r="O32" s="32"/>
      <c r="P32" s="119"/>
      <c r="Q32" s="120"/>
      <c r="R32" s="120"/>
      <c r="S32" s="121"/>
      <c r="T32" s="33"/>
      <c r="U32" s="33"/>
      <c r="V32" s="33"/>
      <c r="W32" s="33"/>
      <c r="X32" s="15"/>
      <c r="Y32" s="14"/>
      <c r="Z32" s="14"/>
      <c r="AA32" s="14"/>
      <c r="AB32" s="14"/>
      <c r="AC32" s="14"/>
      <c r="AD32" s="16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/>
      <c r="B33" s="205" t="str">
        <f>_xlfn.IFNA(VLOOKUP(A33,'Construction Sheet'!$A$3:$D$50,2,FALSE), "")</f>
        <v/>
      </c>
      <c r="C33" s="206"/>
      <c r="D33" s="206"/>
      <c r="E33" s="206"/>
      <c r="F33" s="207"/>
      <c r="G33" s="31" t="str">
        <f>_xlfn.IFNA(VLOOKUP(A33,'Construction Sheet'!$A$3:$D$50,3,FALSE),"")</f>
        <v/>
      </c>
      <c r="H33" s="31"/>
      <c r="I33" s="128" t="str">
        <f t="shared" si="0"/>
        <v/>
      </c>
      <c r="J33" s="124"/>
      <c r="K33" s="128" t="str">
        <f>IF($B33="","",IF($A33&gt;=1,IF($A33&lt;=33,VLOOKUP('Primary Operation 4'!$A33,'Construction Sheet'!$A$2:$F$35,5),""),""))</f>
        <v/>
      </c>
      <c r="L33" s="124"/>
      <c r="M33" s="128" t="str">
        <f>IF($B33="","",IF($A33&gt;=1,IF($A33&lt;=33,VLOOKUP('Primary Operation 4'!$A33,'Construction Sheet'!$A$2:$F$35,6),""),""))</f>
        <v/>
      </c>
      <c r="N33" s="124"/>
      <c r="O33" s="30"/>
      <c r="P33" s="122"/>
      <c r="Q33" s="123"/>
      <c r="R33" s="123"/>
      <c r="S33" s="124"/>
      <c r="T33" s="31"/>
      <c r="U33" s="31"/>
      <c r="V33" s="31"/>
      <c r="W33" s="31"/>
      <c r="X33" s="15"/>
      <c r="Y33" s="14"/>
      <c r="Z33" s="14"/>
      <c r="AA33" s="14"/>
      <c r="AB33" s="14"/>
      <c r="AC33" s="14"/>
      <c r="AD33" s="16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3"/>
      <c r="B34" s="199" t="str">
        <f>_xlfn.IFNA(VLOOKUP(A34,'Construction Sheet'!$A$3:$D$50,2,FALSE), "")</f>
        <v/>
      </c>
      <c r="C34" s="200"/>
      <c r="D34" s="200"/>
      <c r="E34" s="200"/>
      <c r="F34" s="201"/>
      <c r="G34" s="33" t="str">
        <f>_xlfn.IFNA(VLOOKUP(A34,'Construction Sheet'!$A$3:$D$50,3,FALSE),"")</f>
        <v/>
      </c>
      <c r="H34" s="33"/>
      <c r="I34" s="127" t="str">
        <f t="shared" si="0"/>
        <v/>
      </c>
      <c r="J34" s="121"/>
      <c r="K34" s="127" t="str">
        <f>IF($B34="","",IF($A34&gt;=1,IF($A34&lt;=33,VLOOKUP('Primary Operation 4'!$A34,'Construction Sheet'!$A$2:$F$35,5),""),""))</f>
        <v/>
      </c>
      <c r="L34" s="121"/>
      <c r="M34" s="127" t="str">
        <f>IF($B34="","",IF($A34&gt;=1,IF($A34&lt;=33,VLOOKUP('Primary Operation 4'!$A34,'Construction Sheet'!$A$2:$F$35,6),""),""))</f>
        <v/>
      </c>
      <c r="N34" s="121"/>
      <c r="O34" s="32"/>
      <c r="P34" s="119"/>
      <c r="Q34" s="120"/>
      <c r="R34" s="120"/>
      <c r="S34" s="121"/>
      <c r="T34" s="33"/>
      <c r="U34" s="33"/>
      <c r="V34" s="33"/>
      <c r="W34" s="33"/>
      <c r="X34" s="15"/>
      <c r="Y34" s="14"/>
      <c r="Z34" s="14"/>
      <c r="AA34" s="14"/>
      <c r="AB34" s="14"/>
      <c r="AC34" s="14"/>
      <c r="AD34" s="16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05" t="str">
        <f>_xlfn.IFNA(VLOOKUP(A35,'Construction Sheet'!$A$3:$D$50,2,FALSE), "")</f>
        <v/>
      </c>
      <c r="C35" s="206"/>
      <c r="D35" s="206"/>
      <c r="E35" s="206"/>
      <c r="F35" s="207"/>
      <c r="G35" s="31" t="str">
        <f>_xlfn.IFNA(VLOOKUP(A35,'Construction Sheet'!$A$3:$D$50,3,FALSE),"")</f>
        <v/>
      </c>
      <c r="H35" s="31"/>
      <c r="I35" s="128" t="str">
        <f t="shared" si="0"/>
        <v/>
      </c>
      <c r="J35" s="124"/>
      <c r="K35" s="128" t="str">
        <f>IF($B35="","",IF($A35&gt;=1,IF($A35&lt;=33,VLOOKUP('Primary Operation 4'!$A35,'Construction Sheet'!$A$2:$F$35,5),""),""))</f>
        <v/>
      </c>
      <c r="L35" s="124"/>
      <c r="M35" s="128" t="str">
        <f>IF($B35="","",IF($A35&gt;=1,IF($A35&lt;=33,VLOOKUP('Primary Operation 4'!$A35,'Construction Sheet'!$A$2:$F$35,6),""),""))</f>
        <v/>
      </c>
      <c r="N35" s="124"/>
      <c r="O35" s="30"/>
      <c r="P35" s="122"/>
      <c r="Q35" s="123"/>
      <c r="R35" s="123"/>
      <c r="S35" s="124"/>
      <c r="T35" s="31"/>
      <c r="U35" s="31"/>
      <c r="V35" s="31"/>
      <c r="W35" s="31"/>
      <c r="X35" s="15"/>
      <c r="Y35" s="14"/>
      <c r="Z35" s="14"/>
      <c r="AA35" s="14"/>
      <c r="AB35" s="14"/>
      <c r="AC35" s="14"/>
      <c r="AD35" s="16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3"/>
      <c r="B36" s="199" t="str">
        <f>_xlfn.IFNA(VLOOKUP(A36,'Construction Sheet'!$A$3:$D$50,2,FALSE), "")</f>
        <v/>
      </c>
      <c r="C36" s="200"/>
      <c r="D36" s="200"/>
      <c r="E36" s="200"/>
      <c r="F36" s="201"/>
      <c r="G36" s="33" t="str">
        <f>_xlfn.IFNA(VLOOKUP(A36,'Construction Sheet'!$A$3:$D$50,3,FALSE),"")</f>
        <v/>
      </c>
      <c r="H36" s="33"/>
      <c r="I36" s="127" t="str">
        <f t="shared" si="0"/>
        <v/>
      </c>
      <c r="J36" s="121"/>
      <c r="K36" s="127" t="str">
        <f>IF($B36="","",IF($A36&gt;=1,IF($A36&lt;=33,VLOOKUP('Primary Operation 4'!$A36,'Construction Sheet'!$A$2:$F$35,5),""),""))</f>
        <v/>
      </c>
      <c r="L36" s="121"/>
      <c r="M36" s="127" t="str">
        <f>IF($B36="","",IF($A36&gt;=1,IF($A36&lt;=33,VLOOKUP('Primary Operation 4'!$A36,'Construction Sheet'!$A$2:$F$35,6),""),""))</f>
        <v/>
      </c>
      <c r="N36" s="121"/>
      <c r="O36" s="32"/>
      <c r="P36" s="119"/>
      <c r="Q36" s="120"/>
      <c r="R36" s="120"/>
      <c r="S36" s="121"/>
      <c r="T36" s="33"/>
      <c r="U36" s="33"/>
      <c r="V36" s="33"/>
      <c r="W36" s="33"/>
      <c r="X36" s="15"/>
      <c r="Y36" s="14"/>
      <c r="Z36" s="14"/>
      <c r="AA36" s="14"/>
      <c r="AB36" s="14"/>
      <c r="AC36" s="14"/>
      <c r="AD36" s="16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05" t="str">
        <f>_xlfn.IFNA(VLOOKUP(A37,'Construction Sheet'!$A$3:$D$50,2,FALSE), "")</f>
        <v/>
      </c>
      <c r="C37" s="206"/>
      <c r="D37" s="206"/>
      <c r="E37" s="206"/>
      <c r="F37" s="207"/>
      <c r="G37" s="31" t="str">
        <f>_xlfn.IFNA(VLOOKUP(A37,'Construction Sheet'!$A$3:$D$50,3,FALSE),"")</f>
        <v/>
      </c>
      <c r="H37" s="31"/>
      <c r="I37" s="128" t="str">
        <f t="shared" si="0"/>
        <v/>
      </c>
      <c r="J37" s="124"/>
      <c r="K37" s="128" t="str">
        <f>IF($B37="","",IF($A37&gt;=1,IF($A37&lt;=33,VLOOKUP('Primary Operation 4'!$A37,'Construction Sheet'!$A$2:$F$35,5),""),""))</f>
        <v/>
      </c>
      <c r="L37" s="124"/>
      <c r="M37" s="128" t="str">
        <f>IF($B37="","",IF($A37&gt;=1,IF($A37&lt;=33,VLOOKUP('Primary Operation 4'!$A37,'Construction Sheet'!$A$2:$F$35,6),""),""))</f>
        <v/>
      </c>
      <c r="N37" s="124"/>
      <c r="O37" s="30"/>
      <c r="P37" s="122"/>
      <c r="Q37" s="123"/>
      <c r="R37" s="123"/>
      <c r="S37" s="124"/>
      <c r="T37" s="31"/>
      <c r="U37" s="31"/>
      <c r="V37" s="31"/>
      <c r="W37" s="31"/>
      <c r="X37" s="15"/>
      <c r="Y37" s="14"/>
      <c r="Z37" s="14"/>
      <c r="AA37" s="14"/>
      <c r="AB37" s="14"/>
      <c r="AC37" s="14"/>
      <c r="AD37" s="16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3"/>
      <c r="B38" s="199" t="str">
        <f>_xlfn.IFNA(VLOOKUP(A38,'Construction Sheet'!$A$3:$D$50,2,FALSE), "")</f>
        <v/>
      </c>
      <c r="C38" s="200"/>
      <c r="D38" s="200"/>
      <c r="E38" s="200"/>
      <c r="F38" s="201"/>
      <c r="G38" s="33" t="str">
        <f>_xlfn.IFNA(VLOOKUP(A38,'Construction Sheet'!$A$3:$D$50,3,FALSE),"")</f>
        <v/>
      </c>
      <c r="H38" s="33"/>
      <c r="I38" s="127" t="str">
        <f t="shared" si="0"/>
        <v/>
      </c>
      <c r="J38" s="121"/>
      <c r="K38" s="127" t="str">
        <f>IF($B38="","",IF($A38&gt;=1,IF($A38&lt;=33,VLOOKUP('Primary Operation 4'!$A38,'Construction Sheet'!$A$2:$F$35,5),""),""))</f>
        <v/>
      </c>
      <c r="L38" s="121"/>
      <c r="M38" s="127" t="str">
        <f>IF($B38="","",IF($A38&gt;=1,IF($A38&lt;=33,VLOOKUP('Primary Operation 4'!$A38,'Construction Sheet'!$A$2:$F$35,6),""),""))</f>
        <v/>
      </c>
      <c r="N38" s="121"/>
      <c r="O38" s="32"/>
      <c r="P38" s="119"/>
      <c r="Q38" s="120"/>
      <c r="R38" s="120"/>
      <c r="S38" s="121"/>
      <c r="T38" s="33"/>
      <c r="U38" s="33"/>
      <c r="V38" s="33"/>
      <c r="W38" s="33"/>
      <c r="X38" s="15"/>
      <c r="Y38" s="14"/>
      <c r="Z38" s="14"/>
      <c r="AA38" s="14"/>
      <c r="AB38" s="14"/>
      <c r="AC38" s="14"/>
      <c r="AD38" s="16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05" t="str">
        <f>_xlfn.IFNA(VLOOKUP(A39,'Construction Sheet'!$A$3:$D$50,2,FALSE), "")</f>
        <v/>
      </c>
      <c r="C39" s="206"/>
      <c r="D39" s="206"/>
      <c r="E39" s="206"/>
      <c r="F39" s="207"/>
      <c r="G39" s="31" t="str">
        <f>_xlfn.IFNA(VLOOKUP(A39,'Construction Sheet'!$A$3:$D$50,3,FALSE),"")</f>
        <v/>
      </c>
      <c r="H39" s="31"/>
      <c r="I39" s="128" t="str">
        <f t="shared" si="0"/>
        <v/>
      </c>
      <c r="J39" s="124"/>
      <c r="K39" s="128" t="str">
        <f>IF($B39="","",IF($A39&gt;=1,IF($A39&lt;=33,VLOOKUP('Primary Operation 4'!$A39,'Construction Sheet'!$A$2:$F$35,5),""),""))</f>
        <v/>
      </c>
      <c r="L39" s="124"/>
      <c r="M39" s="128" t="str">
        <f>IF($B39="","",IF($A39&gt;=1,IF($A39&lt;=33,VLOOKUP('Primary Operation 4'!$A39,'Construction Sheet'!$A$2:$F$35,6),""),""))</f>
        <v/>
      </c>
      <c r="N39" s="124"/>
      <c r="O39" s="30"/>
      <c r="P39" s="122"/>
      <c r="Q39" s="123"/>
      <c r="R39" s="123"/>
      <c r="S39" s="124"/>
      <c r="T39" s="31"/>
      <c r="U39" s="31"/>
      <c r="V39" s="31"/>
      <c r="W39" s="31"/>
      <c r="X39" s="15"/>
      <c r="Y39" s="14"/>
      <c r="Z39" s="14"/>
      <c r="AA39" s="14"/>
      <c r="AB39" s="14"/>
      <c r="AC39" s="14"/>
      <c r="AD39" s="16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3"/>
      <c r="B40" s="199" t="str">
        <f>_xlfn.IFNA(VLOOKUP(A40,'Construction Sheet'!$A$3:$D$50,2,FALSE), "")</f>
        <v/>
      </c>
      <c r="C40" s="200"/>
      <c r="D40" s="200"/>
      <c r="E40" s="200"/>
      <c r="F40" s="201"/>
      <c r="G40" s="33" t="str">
        <f>_xlfn.IFNA(VLOOKUP(A40,'Construction Sheet'!$A$3:$D$50,3,FALSE),"")</f>
        <v/>
      </c>
      <c r="H40" s="33"/>
      <c r="I40" s="127" t="str">
        <f t="shared" si="0"/>
        <v/>
      </c>
      <c r="J40" s="121"/>
      <c r="K40" s="127" t="str">
        <f>IF($B40="","",IF($A40&gt;=1,IF($A40&lt;=33,VLOOKUP('Primary Operation 4'!$A40,'Construction Sheet'!$A$2:$F$35,5),""),""))</f>
        <v/>
      </c>
      <c r="L40" s="121"/>
      <c r="M40" s="127" t="str">
        <f>IF($B40="","",IF($A40&gt;=1,IF($A40&lt;=33,VLOOKUP('Primary Operation 4'!$A40,'Construction Sheet'!$A$2:$F$35,6),""),""))</f>
        <v/>
      </c>
      <c r="N40" s="121"/>
      <c r="O40" s="32"/>
      <c r="P40" s="119"/>
      <c r="Q40" s="120"/>
      <c r="R40" s="120"/>
      <c r="S40" s="121"/>
      <c r="T40" s="33"/>
      <c r="U40" s="33"/>
      <c r="V40" s="33"/>
      <c r="W40" s="33"/>
      <c r="X40" s="15"/>
      <c r="Y40" s="14"/>
      <c r="Z40" s="14"/>
      <c r="AA40" s="14"/>
      <c r="AB40" s="14"/>
      <c r="AC40" s="14"/>
      <c r="AD40" s="16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31"/>
      <c r="B41" s="205" t="str">
        <f>_xlfn.IFNA(VLOOKUP(A41,'Construction Sheet'!$A$3:$D$50,2,FALSE), "")</f>
        <v/>
      </c>
      <c r="C41" s="206"/>
      <c r="D41" s="206"/>
      <c r="E41" s="206"/>
      <c r="F41" s="207"/>
      <c r="G41" s="31" t="str">
        <f>_xlfn.IFNA(VLOOKUP(A41,'Construction Sheet'!$A$3:$D$50,3,FALSE),"")</f>
        <v/>
      </c>
      <c r="H41" s="31"/>
      <c r="I41" s="128" t="str">
        <f t="shared" si="0"/>
        <v/>
      </c>
      <c r="J41" s="124"/>
      <c r="K41" s="128" t="str">
        <f>IF($B41="","",IF($A41&gt;=1,IF($A41&lt;=33,VLOOKUP('Primary Operation 4'!$A41,'Construction Sheet'!$A$2:$F$35,5),""),""))</f>
        <v/>
      </c>
      <c r="L41" s="124"/>
      <c r="M41" s="128" t="str">
        <f>IF($B41="","",IF($A41&gt;=1,IF($A41&lt;=33,VLOOKUP('Primary Operation 4'!$A41,'Construction Sheet'!$A$2:$F$35,6),""),""))</f>
        <v/>
      </c>
      <c r="N41" s="124"/>
      <c r="O41" s="30"/>
      <c r="P41" s="122"/>
      <c r="Q41" s="123"/>
      <c r="R41" s="123"/>
      <c r="S41" s="124"/>
      <c r="T41" s="31"/>
      <c r="U41" s="31"/>
      <c r="V41" s="31"/>
      <c r="W41" s="31"/>
      <c r="X41" s="15"/>
      <c r="Y41" s="14"/>
      <c r="Z41" s="14"/>
      <c r="AA41" s="14"/>
      <c r="AB41" s="14"/>
      <c r="AC41" s="14"/>
      <c r="AD41" s="16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3"/>
      <c r="B42" s="199" t="str">
        <f>_xlfn.IFNA(VLOOKUP(A42,'Construction Sheet'!$A$3:$D$50,2,FALSE), "")</f>
        <v/>
      </c>
      <c r="C42" s="200"/>
      <c r="D42" s="200"/>
      <c r="E42" s="200"/>
      <c r="F42" s="201"/>
      <c r="G42" s="33" t="str">
        <f>_xlfn.IFNA(VLOOKUP(A42,'Construction Sheet'!$A$3:$D$50,3,FALSE),"")</f>
        <v/>
      </c>
      <c r="H42" s="33"/>
      <c r="I42" s="127" t="str">
        <f t="shared" si="0"/>
        <v/>
      </c>
      <c r="J42" s="121"/>
      <c r="K42" s="127" t="str">
        <f>IF($B42="","",IF($A42&gt;=1,IF($A42&lt;=33,VLOOKUP('Primary Operation 4'!$A42,'Construction Sheet'!$A$2:$F$35,5),""),""))</f>
        <v/>
      </c>
      <c r="L42" s="121"/>
      <c r="M42" s="127" t="str">
        <f>IF($B42="","",IF($A42&gt;=1,IF($A42&lt;=33,VLOOKUP('Primary Operation 4'!$A42,'Construction Sheet'!$A$2:$F$35,6),""),""))</f>
        <v/>
      </c>
      <c r="N42" s="121"/>
      <c r="O42" s="32"/>
      <c r="P42" s="119"/>
      <c r="Q42" s="120"/>
      <c r="R42" s="120"/>
      <c r="S42" s="121"/>
      <c r="T42" s="33"/>
      <c r="U42" s="33"/>
      <c r="V42" s="33"/>
      <c r="W42" s="33"/>
      <c r="X42" s="15"/>
      <c r="Y42" s="14"/>
      <c r="Z42" s="14"/>
      <c r="AA42" s="14"/>
      <c r="AB42" s="14"/>
      <c r="AC42" s="14"/>
      <c r="AD42" s="16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31"/>
      <c r="B43" s="205" t="str">
        <f>_xlfn.IFNA(VLOOKUP(A43,'Construction Sheet'!$A$3:$D$50,2,FALSE), "")</f>
        <v/>
      </c>
      <c r="C43" s="206"/>
      <c r="D43" s="206"/>
      <c r="E43" s="206"/>
      <c r="F43" s="207"/>
      <c r="G43" s="31" t="str">
        <f>_xlfn.IFNA(VLOOKUP(A43,'Construction Sheet'!$A$3:$D$50,3,FALSE),"")</f>
        <v/>
      </c>
      <c r="H43" s="31"/>
      <c r="I43" s="128" t="str">
        <f t="shared" si="0"/>
        <v/>
      </c>
      <c r="J43" s="124"/>
      <c r="K43" s="128" t="str">
        <f>IF($B43="","",IF($A43&gt;=1,IF($A43&lt;=33,VLOOKUP('Primary Operation 4'!$A43,'Construction Sheet'!$A$2:$F$35,5),""),""))</f>
        <v/>
      </c>
      <c r="L43" s="124"/>
      <c r="M43" s="128" t="str">
        <f>IF($B43="","",IF($A43&gt;=1,IF($A43&lt;=33,VLOOKUP('Primary Operation 4'!$A43,'Construction Sheet'!$A$2:$F$35,6),""),""))</f>
        <v/>
      </c>
      <c r="N43" s="124"/>
      <c r="O43" s="30"/>
      <c r="P43" s="122"/>
      <c r="Q43" s="123"/>
      <c r="R43" s="123"/>
      <c r="S43" s="124"/>
      <c r="T43" s="31"/>
      <c r="U43" s="31"/>
      <c r="V43" s="31"/>
      <c r="W43" s="31"/>
      <c r="X43" s="15"/>
      <c r="Y43" s="14"/>
      <c r="Z43" s="14"/>
      <c r="AA43" s="14"/>
      <c r="AB43" s="14"/>
      <c r="AC43" s="14"/>
      <c r="AD43" s="16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ht="15.75" thickBot="1" x14ac:dyDescent="0.3">
      <c r="A44" s="47"/>
      <c r="B44" s="208" t="str">
        <f>_xlfn.IFNA(VLOOKUP(A44,'Construction Sheet'!$A$3:$D$50,2,FALSE), "")</f>
        <v/>
      </c>
      <c r="C44" s="209"/>
      <c r="D44" s="209"/>
      <c r="E44" s="209"/>
      <c r="F44" s="210"/>
      <c r="G44" s="47" t="str">
        <f>_xlfn.IFNA(VLOOKUP(A44,'Construction Sheet'!$A$3:$D$50,3,FALSE),"")</f>
        <v/>
      </c>
      <c r="H44" s="47"/>
      <c r="I44" s="129" t="str">
        <f t="shared" si="0"/>
        <v/>
      </c>
      <c r="J44" s="130"/>
      <c r="K44" s="129" t="str">
        <f>IF($B44="","",IF($A44&gt;=1,IF($A44&lt;=33,VLOOKUP('Primary Operation 4'!$A44,'Construction Sheet'!$A$2:$F$35,5),""),""))</f>
        <v/>
      </c>
      <c r="L44" s="130"/>
      <c r="M44" s="129" t="str">
        <f>IF($B44="","",IF($A44&gt;=1,IF($A44&lt;=33,VLOOKUP('Primary Operation 4'!$A44,'Construction Sheet'!$A$2:$F$35,6),""),""))</f>
        <v/>
      </c>
      <c r="N44" s="130"/>
      <c r="O44" s="48"/>
      <c r="P44" s="131"/>
      <c r="Q44" s="132"/>
      <c r="R44" s="132"/>
      <c r="S44" s="130"/>
      <c r="T44" s="47"/>
      <c r="U44" s="47"/>
      <c r="V44" s="47"/>
      <c r="W44" s="47"/>
      <c r="X44" s="15"/>
      <c r="Y44" s="14"/>
      <c r="Z44" s="14"/>
      <c r="AA44" s="14"/>
      <c r="AB44" s="14"/>
      <c r="AC44" s="14"/>
      <c r="AD44" s="16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ht="15.75" thickBot="1" x14ac:dyDescent="0.3">
      <c r="A45" s="97" t="s">
        <v>53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9"/>
      <c r="T45" s="97" t="s">
        <v>54</v>
      </c>
      <c r="U45" s="99"/>
      <c r="V45" s="98" t="s">
        <v>55</v>
      </c>
      <c r="W45" s="99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</row>
    <row r="46" spans="1:46" ht="15" customHeight="1" x14ac:dyDescent="0.25">
      <c r="A46" s="91" t="s">
        <v>240</v>
      </c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3"/>
      <c r="T46" s="100"/>
      <c r="U46" s="101"/>
      <c r="V46" s="100"/>
      <c r="W46" s="101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</row>
    <row r="47" spans="1:46" ht="15" customHeight="1" x14ac:dyDescent="0.25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3"/>
      <c r="T47" s="100"/>
      <c r="U47" s="101"/>
      <c r="V47" s="100"/>
      <c r="W47" s="101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</row>
    <row r="48" spans="1:46" ht="15" customHeight="1" x14ac:dyDescent="0.25">
      <c r="A48" s="91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3"/>
      <c r="T48" s="100"/>
      <c r="U48" s="101"/>
      <c r="V48" s="100"/>
      <c r="W48" s="101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</row>
    <row r="49" spans="1:46" ht="15.75" customHeight="1" x14ac:dyDescent="0.25">
      <c r="A49" s="91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3"/>
      <c r="T49" s="100"/>
      <c r="U49" s="101"/>
      <c r="V49" s="100"/>
      <c r="W49" s="101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</row>
    <row r="50" spans="1:46" ht="15.75" customHeight="1" x14ac:dyDescent="0.25">
      <c r="A50" s="91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3"/>
      <c r="T50" s="100"/>
      <c r="U50" s="101"/>
      <c r="V50" s="100"/>
      <c r="W50" s="101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</row>
    <row r="51" spans="1:46" ht="15.75" customHeight="1" thickBot="1" x14ac:dyDescent="0.3">
      <c r="A51" s="94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102"/>
      <c r="U51" s="103"/>
      <c r="V51" s="102"/>
      <c r="W51" s="103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</row>
    <row r="52" spans="1:46" x14ac:dyDescent="0.25">
      <c r="A52" s="185" t="s">
        <v>190</v>
      </c>
      <c r="B52" s="185"/>
      <c r="C52" s="185"/>
      <c r="D52" s="78" t="str" cm="1">
        <f t="array" aca="1" ref="D52" ca="1">MID(CELL("filename",A1),FIND("[",CELL("filename",A1))+1,FIND(".xlsm",CELL("filename",A1))-FIND("[",CELL("filename",A1))-1)</f>
        <v>import_test</v>
      </c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 t="str">
        <f>IF(ISBLANK(Cover!D6),"",Cover!D6)</f>
        <v>26-0099</v>
      </c>
      <c r="V52" s="78"/>
      <c r="W52" s="78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</sheetData>
  <sheetProtection selectLockedCells="1"/>
  <mergeCells count="172">
    <mergeCell ref="T45:U45"/>
    <mergeCell ref="V45:W45"/>
    <mergeCell ref="A46:S51"/>
    <mergeCell ref="T46:U51"/>
    <mergeCell ref="V46:W51"/>
    <mergeCell ref="A52:C52"/>
    <mergeCell ref="D52:T52"/>
    <mergeCell ref="U52:W52"/>
    <mergeCell ref="B44:F44"/>
    <mergeCell ref="I44:J44"/>
    <mergeCell ref="K44:L44"/>
    <mergeCell ref="M44:N44"/>
    <mergeCell ref="P44:S44"/>
    <mergeCell ref="A45:S45"/>
    <mergeCell ref="B42:F42"/>
    <mergeCell ref="I42:J42"/>
    <mergeCell ref="K42:L42"/>
    <mergeCell ref="M42:N42"/>
    <mergeCell ref="P42:S42"/>
    <mergeCell ref="B43:F43"/>
    <mergeCell ref="I43:J43"/>
    <mergeCell ref="K43:L43"/>
    <mergeCell ref="M43:N43"/>
    <mergeCell ref="P43:S43"/>
    <mergeCell ref="B40:F40"/>
    <mergeCell ref="I40:J40"/>
    <mergeCell ref="K40:L40"/>
    <mergeCell ref="M40:N40"/>
    <mergeCell ref="P40:S40"/>
    <mergeCell ref="B41:F41"/>
    <mergeCell ref="I41:J41"/>
    <mergeCell ref="K41:L41"/>
    <mergeCell ref="M41:N41"/>
    <mergeCell ref="P41:S41"/>
    <mergeCell ref="B38:F38"/>
    <mergeCell ref="I38:J38"/>
    <mergeCell ref="K38:L38"/>
    <mergeCell ref="M38:N38"/>
    <mergeCell ref="P38:S38"/>
    <mergeCell ref="B39:F39"/>
    <mergeCell ref="I39:J39"/>
    <mergeCell ref="K39:L39"/>
    <mergeCell ref="M39:N39"/>
    <mergeCell ref="P39:S39"/>
    <mergeCell ref="B36:F36"/>
    <mergeCell ref="I36:J36"/>
    <mergeCell ref="K36:L36"/>
    <mergeCell ref="M36:N36"/>
    <mergeCell ref="P36:S36"/>
    <mergeCell ref="B37:F37"/>
    <mergeCell ref="I37:J37"/>
    <mergeCell ref="K37:L37"/>
    <mergeCell ref="M37:N37"/>
    <mergeCell ref="P37:S37"/>
    <mergeCell ref="B34:F34"/>
    <mergeCell ref="I34:J34"/>
    <mergeCell ref="K34:L34"/>
    <mergeCell ref="M34:N34"/>
    <mergeCell ref="P34:S34"/>
    <mergeCell ref="B35:F35"/>
    <mergeCell ref="I35:J35"/>
    <mergeCell ref="K35:L35"/>
    <mergeCell ref="M35:N35"/>
    <mergeCell ref="P35:S35"/>
    <mergeCell ref="B32:F32"/>
    <mergeCell ref="I32:J32"/>
    <mergeCell ref="K32:L32"/>
    <mergeCell ref="M32:N32"/>
    <mergeCell ref="P32:S32"/>
    <mergeCell ref="B33:F33"/>
    <mergeCell ref="I33:J33"/>
    <mergeCell ref="K33:L33"/>
    <mergeCell ref="M33:N33"/>
    <mergeCell ref="P33:S33"/>
    <mergeCell ref="B30:F30"/>
    <mergeCell ref="I30:J30"/>
    <mergeCell ref="K30:L30"/>
    <mergeCell ref="M30:N30"/>
    <mergeCell ref="P30:S30"/>
    <mergeCell ref="B31:F31"/>
    <mergeCell ref="I31:J31"/>
    <mergeCell ref="K31:L31"/>
    <mergeCell ref="M31:N31"/>
    <mergeCell ref="P31:S31"/>
    <mergeCell ref="A28:O28"/>
    <mergeCell ref="P28:W28"/>
    <mergeCell ref="B29:F29"/>
    <mergeCell ref="I29:J29"/>
    <mergeCell ref="K29:L29"/>
    <mergeCell ref="M29:N29"/>
    <mergeCell ref="P29:S29"/>
    <mergeCell ref="B26:F26"/>
    <mergeCell ref="H26:I26"/>
    <mergeCell ref="J26:K26"/>
    <mergeCell ref="M26:W27"/>
    <mergeCell ref="B27:F27"/>
    <mergeCell ref="H27:I27"/>
    <mergeCell ref="J27:K27"/>
    <mergeCell ref="B24:F24"/>
    <mergeCell ref="H24:I24"/>
    <mergeCell ref="J24:K24"/>
    <mergeCell ref="B25:F25"/>
    <mergeCell ref="H25:I25"/>
    <mergeCell ref="J25:K25"/>
    <mergeCell ref="A21:J21"/>
    <mergeCell ref="B22:F22"/>
    <mergeCell ref="H22:I22"/>
    <mergeCell ref="J22:K22"/>
    <mergeCell ref="B23:F23"/>
    <mergeCell ref="H23:I23"/>
    <mergeCell ref="J23:K23"/>
    <mergeCell ref="A19:B19"/>
    <mergeCell ref="C19:I19"/>
    <mergeCell ref="J19:K19"/>
    <mergeCell ref="A20:B20"/>
    <mergeCell ref="C20:I20"/>
    <mergeCell ref="J20:K20"/>
    <mergeCell ref="A17:B17"/>
    <mergeCell ref="C17:I17"/>
    <mergeCell ref="J17:K17"/>
    <mergeCell ref="A18:B18"/>
    <mergeCell ref="C18:I18"/>
    <mergeCell ref="J18:K18"/>
    <mergeCell ref="A14:L14"/>
    <mergeCell ref="A15:B15"/>
    <mergeCell ref="C15:I15"/>
    <mergeCell ref="J15:K15"/>
    <mergeCell ref="A16:B16"/>
    <mergeCell ref="C16:I16"/>
    <mergeCell ref="J16:K16"/>
    <mergeCell ref="B12:D12"/>
    <mergeCell ref="E12:H12"/>
    <mergeCell ref="I12:J12"/>
    <mergeCell ref="K12:L12"/>
    <mergeCell ref="B13:D13"/>
    <mergeCell ref="E13:F13"/>
    <mergeCell ref="G13:L13"/>
    <mergeCell ref="E11:H11"/>
    <mergeCell ref="I11:J11"/>
    <mergeCell ref="K11:L11"/>
    <mergeCell ref="B8:D8"/>
    <mergeCell ref="E8:H8"/>
    <mergeCell ref="I8:J8"/>
    <mergeCell ref="K8:L8"/>
    <mergeCell ref="B9:D9"/>
    <mergeCell ref="E9:H9"/>
    <mergeCell ref="I9:J9"/>
    <mergeCell ref="K9:L9"/>
    <mergeCell ref="A1:W2"/>
    <mergeCell ref="A3:L3"/>
    <mergeCell ref="M3:W3"/>
    <mergeCell ref="A4:B4"/>
    <mergeCell ref="C4:F4"/>
    <mergeCell ref="G4:H4"/>
    <mergeCell ref="I4:J4"/>
    <mergeCell ref="K4:L4"/>
    <mergeCell ref="M4:W25"/>
    <mergeCell ref="A5:B5"/>
    <mergeCell ref="C5:F5"/>
    <mergeCell ref="G5:H5"/>
    <mergeCell ref="I5:J5"/>
    <mergeCell ref="K5:L5"/>
    <mergeCell ref="A6:L6"/>
    <mergeCell ref="B7:D7"/>
    <mergeCell ref="E7:H7"/>
    <mergeCell ref="I7:J7"/>
    <mergeCell ref="K7:L7"/>
    <mergeCell ref="B10:D10"/>
    <mergeCell ref="E10:H10"/>
    <mergeCell ref="I10:J10"/>
    <mergeCell ref="K10:L10"/>
    <mergeCell ref="B11:D11"/>
  </mergeCells>
  <conditionalFormatting sqref="I30:I44">
    <cfRule type="notContainsText" dxfId="27" priority="5" operator="notContains" text="N/A">
      <formula>ISERROR(SEARCH("N/A",I30))</formula>
    </cfRule>
  </conditionalFormatting>
  <conditionalFormatting sqref="G30:G44">
    <cfRule type="expression" dxfId="26" priority="1">
      <formula>AND(IF($A30&gt;10,1),IF($A30&lt;18,1),IF($G30=".015",1))</formula>
    </cfRule>
    <cfRule type="expression" dxfId="25" priority="4">
      <formula>AND(IF($A30&gt;10,1),IF($A30&lt;18,1),IF($G30=".015r",1))</formula>
    </cfRule>
  </conditionalFormatting>
  <conditionalFormatting sqref="T46 V46">
    <cfRule type="notContainsText" dxfId="24" priority="2" operator="notContains" text="N/A">
      <formula>ISERROR(SEARCH("N/A",T46))</formula>
    </cfRule>
    <cfRule type="containsText" dxfId="23" priority="3" operator="containsText" text="N/A">
      <formula>NOT(ISERROR(SEARCH("N/A",T46)))</formula>
    </cfRule>
  </conditionalFormatting>
  <pageMargins left="0" right="0" top="0" bottom="0" header="0.3" footer="0.3"/>
  <pageSetup paperSize="17" orientation="landscape" r:id="rId1"/>
  <ignoredErrors>
    <ignoredError sqref="C30:F30 B11:D12 B32:N44 B31:F31 I31:N31 I30:J30 L30 N30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400-000000000000}">
          <x14:formula1>
            <xm:f>'Construction Sheet'!$M$2:$M$3</xm:f>
          </x14:formula1>
          <xm:sqref>B11:D11</xm:sqref>
        </x14:dataValidation>
        <x14:dataValidation type="list" allowBlank="1" xr:uid="{00000000-0002-0000-0400-000001000000}">
          <x14:formula1>
            <xm:f>'Construction Sheet'!$N$2</xm:f>
          </x14:formula1>
          <xm:sqref>B12:D12</xm:sqref>
        </x14:dataValidation>
        <x14:dataValidation type="list" allowBlank="1" showInputMessage="1" xr:uid="{00000000-0002-0000-0400-000002000000}">
          <x14:formula1>
            <xm:f>'Construction Sheet'!$I$32:$I$36</xm:f>
          </x14:formula1>
          <xm:sqref>M30:N44</xm:sqref>
        </x14:dataValidation>
        <x14:dataValidation type="list" allowBlank="1" showInputMessage="1" xr:uid="{00000000-0002-0000-0400-000003000000}">
          <x14:formula1>
            <xm:f>'Construction Sheet'!$H$32:$H$38</xm:f>
          </x14:formula1>
          <xm:sqref>K30:L44</xm:sqref>
        </x14:dataValidation>
        <x14:dataValidation type="list" allowBlank="1" showInputMessage="1" xr:uid="{00000000-0002-0000-0400-000004000000}">
          <x14:formula1>
            <xm:f>'Construction Sheet'!$K$25</xm:f>
          </x14:formula1>
          <xm:sqref>I5:J5</xm:sqref>
        </x14:dataValidation>
        <x14:dataValidation type="list" allowBlank="1" xr:uid="{00000000-0002-0000-0400-000005000000}">
          <x14:formula1>
            <xm:f>'Construction Sheet'!$H$2:$H$5</xm:f>
          </x14:formula1>
          <xm:sqref>A5:B5</xm:sqref>
        </x14:dataValidation>
        <x14:dataValidation type="list" allowBlank="1" xr:uid="{00000000-0002-0000-0400-000006000000}">
          <x14:formula1>
            <xm:f>'Construction Sheet'!$L$2:$L$4</xm:f>
          </x14:formula1>
          <xm:sqref>B10</xm:sqref>
        </x14:dataValidation>
        <x14:dataValidation type="list" allowBlank="1" xr:uid="{00000000-0002-0000-0400-000007000000}">
          <x14:formula1>
            <xm:f>'Construction Sheet'!$K$2:$K$3</xm:f>
          </x14:formula1>
          <xm:sqref>B8:B9</xm:sqref>
        </x14:dataValidation>
        <x14:dataValidation type="list" allowBlank="1" xr:uid="{00000000-0002-0000-0400-000008000000}">
          <x14:formula1>
            <xm:f>'Construction Sheet'!$I$2:$I$5</xm:f>
          </x14:formula1>
          <xm:sqref>G5</xm:sqref>
        </x14:dataValidation>
        <x14:dataValidation type="list" allowBlank="1" xr:uid="{00000000-0002-0000-0400-000009000000}">
          <x14:formula1>
            <xm:f>'Construction Sheet'!$G$2:$G$4</xm:f>
          </x14:formula1>
          <xm:sqref>B13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1"/>
  </sheetPr>
  <dimension ref="A1:AT52"/>
  <sheetViews>
    <sheetView view="pageLayout" zoomScaleNormal="100" workbookViewId="0">
      <selection activeCell="H30" sqref="H30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46" ht="12.75" customHeight="1" x14ac:dyDescent="0.25">
      <c r="A1" s="138" t="s">
        <v>59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5" customHeight="1" thickBot="1" x14ac:dyDescent="0.3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5.75" thickBot="1" x14ac:dyDescent="0.3">
      <c r="A3" s="165" t="s">
        <v>12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5"/>
      <c r="M3" s="165" t="s">
        <v>13</v>
      </c>
      <c r="N3" s="134"/>
      <c r="O3" s="134"/>
      <c r="P3" s="134"/>
      <c r="Q3" s="134"/>
      <c r="R3" s="134"/>
      <c r="S3" s="134"/>
      <c r="T3" s="134"/>
      <c r="U3" s="134"/>
      <c r="V3" s="134"/>
      <c r="W3" s="135"/>
      <c r="X3" s="12"/>
      <c r="Y3" s="13"/>
      <c r="Z3" s="13"/>
      <c r="AA3" s="13"/>
      <c r="AB3" s="13"/>
      <c r="AC3" s="13"/>
      <c r="AD3" s="12"/>
      <c r="AE3" s="13"/>
      <c r="AF3" s="13"/>
      <c r="AG3" s="13"/>
      <c r="AH3" s="13"/>
      <c r="AI3" s="13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8" t="s">
        <v>14</v>
      </c>
      <c r="B4" s="184"/>
      <c r="C4" s="148" t="s">
        <v>15</v>
      </c>
      <c r="D4" s="184"/>
      <c r="E4" s="184"/>
      <c r="F4" s="149"/>
      <c r="G4" s="148" t="s">
        <v>16</v>
      </c>
      <c r="H4" s="149"/>
      <c r="I4" s="148" t="s">
        <v>17</v>
      </c>
      <c r="J4" s="149"/>
      <c r="K4" s="148" t="s">
        <v>18</v>
      </c>
      <c r="L4" s="184"/>
      <c r="M4" s="178"/>
      <c r="N4" s="179"/>
      <c r="O4" s="179"/>
      <c r="P4" s="179"/>
      <c r="Q4" s="179"/>
      <c r="R4" s="179"/>
      <c r="S4" s="179"/>
      <c r="T4" s="179"/>
      <c r="U4" s="179"/>
      <c r="V4" s="179"/>
      <c r="W4" s="180"/>
      <c r="X4" s="15"/>
      <c r="Y4" s="14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.75" thickBot="1" x14ac:dyDescent="0.3">
      <c r="A5" s="160" t="s">
        <v>204</v>
      </c>
      <c r="B5" s="161"/>
      <c r="C5" s="157" t="s">
        <v>233</v>
      </c>
      <c r="D5" s="158"/>
      <c r="E5" s="158"/>
      <c r="F5" s="159"/>
      <c r="G5" s="160" t="s">
        <v>86</v>
      </c>
      <c r="H5" s="161"/>
      <c r="I5" s="160" t="s">
        <v>234</v>
      </c>
      <c r="J5" s="161"/>
      <c r="K5" s="160" t="s">
        <v>249</v>
      </c>
      <c r="L5" s="164"/>
      <c r="M5" s="181"/>
      <c r="N5" s="182"/>
      <c r="O5" s="182"/>
      <c r="P5" s="182"/>
      <c r="Q5" s="182"/>
      <c r="R5" s="182"/>
      <c r="S5" s="182"/>
      <c r="T5" s="182"/>
      <c r="U5" s="182"/>
      <c r="V5" s="182"/>
      <c r="W5" s="183"/>
      <c r="X5" s="15"/>
      <c r="Y5" s="14"/>
      <c r="Z5" s="14"/>
      <c r="AA5" s="14"/>
      <c r="AB5" s="14"/>
      <c r="AC5" s="14"/>
      <c r="AD5" s="16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ht="15.75" thickBot="1" x14ac:dyDescent="0.3">
      <c r="A6" s="162" t="s">
        <v>19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81"/>
      <c r="N6" s="182"/>
      <c r="O6" s="182"/>
      <c r="P6" s="182"/>
      <c r="Q6" s="182"/>
      <c r="R6" s="182"/>
      <c r="S6" s="182"/>
      <c r="T6" s="182"/>
      <c r="U6" s="182"/>
      <c r="V6" s="182"/>
      <c r="W6" s="183"/>
      <c r="X6" s="15"/>
      <c r="Y6" s="14"/>
      <c r="Z6" s="14"/>
      <c r="AA6" s="14"/>
      <c r="AB6" s="14"/>
      <c r="AC6" s="14"/>
      <c r="AD6" s="16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ht="15.75" thickBot="1" x14ac:dyDescent="0.3">
      <c r="A7" s="7" t="s">
        <v>20</v>
      </c>
      <c r="B7" s="140" t="s">
        <v>21</v>
      </c>
      <c r="C7" s="150"/>
      <c r="D7" s="141"/>
      <c r="E7" s="140" t="s">
        <v>22</v>
      </c>
      <c r="F7" s="150"/>
      <c r="G7" s="150"/>
      <c r="H7" s="141"/>
      <c r="I7" s="140" t="s">
        <v>23</v>
      </c>
      <c r="J7" s="141"/>
      <c r="K7" s="140" t="s">
        <v>24</v>
      </c>
      <c r="L7" s="150"/>
      <c r="M7" s="181"/>
      <c r="N7" s="182"/>
      <c r="O7" s="182"/>
      <c r="P7" s="182"/>
      <c r="Q7" s="182"/>
      <c r="R7" s="182"/>
      <c r="S7" s="182"/>
      <c r="T7" s="182"/>
      <c r="U7" s="182"/>
      <c r="V7" s="182"/>
      <c r="W7" s="183"/>
      <c r="X7" s="15"/>
      <c r="Y7" s="14"/>
      <c r="Z7" s="14"/>
      <c r="AA7" s="14"/>
      <c r="AB7" s="14"/>
      <c r="AC7" s="14"/>
      <c r="AD7" s="16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24" t="s">
        <v>25</v>
      </c>
      <c r="B8" s="175" t="s">
        <v>241</v>
      </c>
      <c r="C8" s="176"/>
      <c r="D8" s="177"/>
      <c r="E8" s="142"/>
      <c r="F8" s="151"/>
      <c r="G8" s="151"/>
      <c r="H8" s="143"/>
      <c r="I8" s="142"/>
      <c r="J8" s="173"/>
      <c r="K8" s="172"/>
      <c r="L8" s="143"/>
      <c r="M8" s="181"/>
      <c r="N8" s="182"/>
      <c r="O8" s="182"/>
      <c r="P8" s="182"/>
      <c r="Q8" s="182"/>
      <c r="R8" s="182"/>
      <c r="S8" s="182"/>
      <c r="T8" s="182"/>
      <c r="U8" s="182"/>
      <c r="V8" s="182"/>
      <c r="W8" s="183"/>
      <c r="X8" s="15"/>
      <c r="Y8" s="14"/>
      <c r="Z8" s="14"/>
      <c r="AA8" s="14"/>
      <c r="AB8" s="14"/>
      <c r="AC8" s="14"/>
      <c r="AD8" s="16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3" t="s">
        <v>26</v>
      </c>
      <c r="B9" s="128" t="s">
        <v>242</v>
      </c>
      <c r="C9" s="123"/>
      <c r="D9" s="124"/>
      <c r="E9" s="144"/>
      <c r="F9" s="152"/>
      <c r="G9" s="152"/>
      <c r="H9" s="145"/>
      <c r="I9" s="144"/>
      <c r="J9" s="174"/>
      <c r="K9" s="156"/>
      <c r="L9" s="145"/>
      <c r="M9" s="181"/>
      <c r="N9" s="182"/>
      <c r="O9" s="182"/>
      <c r="P9" s="182"/>
      <c r="Q9" s="182"/>
      <c r="R9" s="182"/>
      <c r="S9" s="182"/>
      <c r="T9" s="182"/>
      <c r="U9" s="182"/>
      <c r="V9" s="182"/>
      <c r="W9" s="183"/>
      <c r="X9" s="15"/>
      <c r="Y9" s="14"/>
      <c r="Z9" s="14"/>
      <c r="AA9" s="14"/>
      <c r="AB9" s="14"/>
      <c r="AC9" s="14"/>
      <c r="AD9" s="16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8" t="s">
        <v>27</v>
      </c>
      <c r="B10" s="127" t="s">
        <v>243</v>
      </c>
      <c r="C10" s="120"/>
      <c r="D10" s="121"/>
      <c r="E10" s="146"/>
      <c r="F10" s="153"/>
      <c r="G10" s="153"/>
      <c r="H10" s="147"/>
      <c r="I10" s="146"/>
      <c r="J10" s="188"/>
      <c r="K10" s="189"/>
      <c r="L10" s="147"/>
      <c r="M10" s="181"/>
      <c r="N10" s="182"/>
      <c r="O10" s="182"/>
      <c r="P10" s="182"/>
      <c r="Q10" s="182"/>
      <c r="R10" s="182"/>
      <c r="S10" s="182"/>
      <c r="T10" s="182"/>
      <c r="U10" s="182"/>
      <c r="V10" s="182"/>
      <c r="W10" s="183"/>
      <c r="X10" s="15"/>
      <c r="Y10" s="14"/>
      <c r="Z10" s="14"/>
      <c r="AA10" s="14"/>
      <c r="AB10" s="14"/>
      <c r="AC10" s="14"/>
      <c r="AD10" s="16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3" t="s">
        <v>28</v>
      </c>
      <c r="B11" s="128" t="str" cm="1">
        <f t="array" ref="B11">_xlfn.IFS(G5="VMC","N/A",G5="HBMX","",G5="Lathe","N/A",G5="VMC / Rotary A","",G5="","")</f>
        <v>N/A</v>
      </c>
      <c r="C11" s="123"/>
      <c r="D11" s="124"/>
      <c r="E11" s="144"/>
      <c r="F11" s="152"/>
      <c r="G11" s="152"/>
      <c r="H11" s="145"/>
      <c r="I11" s="144"/>
      <c r="J11" s="174"/>
      <c r="K11" s="156"/>
      <c r="L11" s="145"/>
      <c r="M11" s="181"/>
      <c r="N11" s="182"/>
      <c r="O11" s="182"/>
      <c r="P11" s="182"/>
      <c r="Q11" s="182"/>
      <c r="R11" s="182"/>
      <c r="S11" s="182"/>
      <c r="T11" s="182"/>
      <c r="U11" s="182"/>
      <c r="V11" s="182"/>
      <c r="W11" s="183"/>
      <c r="X11" s="15"/>
      <c r="Y11" s="14"/>
      <c r="Z11" s="14"/>
      <c r="AA11" s="14"/>
      <c r="AB11" s="14"/>
      <c r="AC11" s="14"/>
      <c r="AD11" s="16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ht="15.75" thickBot="1" x14ac:dyDescent="0.3">
      <c r="A12" s="25" t="s">
        <v>29</v>
      </c>
      <c r="B12" s="191" t="str" cm="1">
        <f t="array" ref="B12">_xlfn.IFS(G5="VMC","N/A",G5="HBMX","",G5="Lathe","N/A",G5="VMC / Rotary A","N/A",G5="","")</f>
        <v>N/A</v>
      </c>
      <c r="C12" s="192"/>
      <c r="D12" s="193"/>
      <c r="E12" s="186"/>
      <c r="F12" s="190"/>
      <c r="G12" s="190"/>
      <c r="H12" s="155"/>
      <c r="I12" s="186"/>
      <c r="J12" s="187"/>
      <c r="K12" s="154"/>
      <c r="L12" s="155"/>
      <c r="M12" s="181"/>
      <c r="N12" s="182"/>
      <c r="O12" s="182"/>
      <c r="P12" s="182"/>
      <c r="Q12" s="182"/>
      <c r="R12" s="182"/>
      <c r="S12" s="182"/>
      <c r="T12" s="182"/>
      <c r="U12" s="182"/>
      <c r="V12" s="182"/>
      <c r="W12" s="183"/>
      <c r="X12" s="15"/>
      <c r="Y12" s="14"/>
      <c r="Z12" s="14"/>
      <c r="AA12" s="14"/>
      <c r="AB12" s="14"/>
      <c r="AC12" s="14"/>
      <c r="AD12" s="16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ht="15.75" thickBot="1" x14ac:dyDescent="0.3">
      <c r="A13" s="7" t="s">
        <v>30</v>
      </c>
      <c r="B13" s="194" t="s">
        <v>84</v>
      </c>
      <c r="C13" s="195"/>
      <c r="D13" s="204"/>
      <c r="E13" s="202" t="s">
        <v>31</v>
      </c>
      <c r="F13" s="203"/>
      <c r="G13" s="194" t="s">
        <v>244</v>
      </c>
      <c r="H13" s="195"/>
      <c r="I13" s="195"/>
      <c r="J13" s="195"/>
      <c r="K13" s="195"/>
      <c r="L13" s="195"/>
      <c r="M13" s="181"/>
      <c r="N13" s="182"/>
      <c r="O13" s="182"/>
      <c r="P13" s="182"/>
      <c r="Q13" s="182"/>
      <c r="R13" s="182"/>
      <c r="S13" s="182"/>
      <c r="T13" s="182"/>
      <c r="U13" s="182"/>
      <c r="V13" s="182"/>
      <c r="W13" s="183"/>
      <c r="X13" s="15"/>
      <c r="Y13" s="14"/>
      <c r="Z13" s="14"/>
      <c r="AA13" s="14"/>
      <c r="AB13" s="14"/>
      <c r="AC13" s="14"/>
      <c r="AD13" s="16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ht="15.75" thickBot="1" x14ac:dyDescent="0.3">
      <c r="A14" s="165" t="s">
        <v>32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5"/>
      <c r="M14" s="181"/>
      <c r="N14" s="182"/>
      <c r="O14" s="182"/>
      <c r="P14" s="182"/>
      <c r="Q14" s="182"/>
      <c r="R14" s="182"/>
      <c r="S14" s="182"/>
      <c r="T14" s="182"/>
      <c r="U14" s="182"/>
      <c r="V14" s="182"/>
      <c r="W14" s="183"/>
      <c r="X14" s="15"/>
      <c r="Y14" s="14"/>
      <c r="Z14" s="14"/>
      <c r="AA14" s="14"/>
      <c r="AB14" s="14"/>
      <c r="AC14" s="14"/>
      <c r="AD14" s="16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ht="15.75" thickBot="1" x14ac:dyDescent="0.3">
      <c r="A15" s="140" t="s">
        <v>17</v>
      </c>
      <c r="B15" s="141"/>
      <c r="C15" s="150" t="s">
        <v>33</v>
      </c>
      <c r="D15" s="150"/>
      <c r="E15" s="150"/>
      <c r="F15" s="150"/>
      <c r="G15" s="150"/>
      <c r="H15" s="150"/>
      <c r="I15" s="141"/>
      <c r="J15" s="104" t="s">
        <v>34</v>
      </c>
      <c r="K15" s="106"/>
      <c r="L15" s="22" t="s">
        <v>35</v>
      </c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3"/>
      <c r="X15" s="15"/>
      <c r="Y15" s="14"/>
      <c r="Z15" s="14"/>
      <c r="AA15" s="14"/>
      <c r="AB15" s="14"/>
      <c r="AC15" s="14"/>
      <c r="AD15" s="16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2"/>
      <c r="B16" s="143"/>
      <c r="C16" s="151"/>
      <c r="D16" s="151"/>
      <c r="E16" s="151"/>
      <c r="F16" s="151"/>
      <c r="G16" s="151"/>
      <c r="H16" s="151"/>
      <c r="I16" s="143"/>
      <c r="J16" s="107"/>
      <c r="K16" s="109"/>
      <c r="L16" s="6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3"/>
      <c r="X16" s="15"/>
      <c r="Y16" s="14"/>
      <c r="Z16" s="14"/>
      <c r="AA16" s="14"/>
      <c r="AB16" s="14"/>
      <c r="AC16" s="14"/>
      <c r="AD16" s="16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4"/>
      <c r="B17" s="145"/>
      <c r="C17" s="152"/>
      <c r="D17" s="152"/>
      <c r="E17" s="152"/>
      <c r="F17" s="152"/>
      <c r="G17" s="152"/>
      <c r="H17" s="152"/>
      <c r="I17" s="145"/>
      <c r="J17" s="110"/>
      <c r="K17" s="112"/>
      <c r="L17" s="4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3"/>
      <c r="X17" s="15"/>
      <c r="Y17" s="14"/>
      <c r="Z17" s="14"/>
      <c r="AA17" s="14"/>
      <c r="AB17" s="14"/>
      <c r="AC17" s="14"/>
      <c r="AD17" s="16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146"/>
      <c r="B18" s="147"/>
      <c r="C18" s="153"/>
      <c r="D18" s="153"/>
      <c r="E18" s="153"/>
      <c r="F18" s="153"/>
      <c r="G18" s="153"/>
      <c r="H18" s="153"/>
      <c r="I18" s="147"/>
      <c r="J18" s="113"/>
      <c r="K18" s="115"/>
      <c r="L18" s="5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3"/>
      <c r="X18" s="15"/>
      <c r="Y18" s="14"/>
      <c r="Z18" s="14"/>
      <c r="AA18" s="14"/>
      <c r="AB18" s="14"/>
      <c r="AC18" s="14"/>
      <c r="AD18" s="16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144"/>
      <c r="B19" s="145"/>
      <c r="C19" s="152"/>
      <c r="D19" s="152"/>
      <c r="E19" s="152"/>
      <c r="F19" s="152"/>
      <c r="G19" s="152"/>
      <c r="H19" s="152"/>
      <c r="I19" s="145"/>
      <c r="J19" s="110"/>
      <c r="K19" s="112"/>
      <c r="L19" s="4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3"/>
      <c r="X19" s="15"/>
      <c r="Y19" s="14"/>
      <c r="Z19" s="14"/>
      <c r="AA19" s="14"/>
      <c r="AB19" s="14"/>
      <c r="AC19" s="14"/>
      <c r="AD19" s="16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ht="15.75" thickBot="1" x14ac:dyDescent="0.3">
      <c r="A20" s="146"/>
      <c r="B20" s="147"/>
      <c r="C20" s="153"/>
      <c r="D20" s="153"/>
      <c r="E20" s="153"/>
      <c r="F20" s="153"/>
      <c r="G20" s="153"/>
      <c r="H20" s="153"/>
      <c r="I20" s="147"/>
      <c r="J20" s="113"/>
      <c r="K20" s="115"/>
      <c r="L20" s="5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3"/>
      <c r="X20" s="15"/>
      <c r="Y20" s="14"/>
      <c r="Z20" s="14"/>
      <c r="AA20" s="14"/>
      <c r="AB20" s="14"/>
      <c r="AC20" s="14"/>
      <c r="AD20" s="16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5.75" thickBot="1" x14ac:dyDescent="0.3">
      <c r="A21" s="162" t="s">
        <v>36</v>
      </c>
      <c r="B21" s="196"/>
      <c r="C21" s="196"/>
      <c r="D21" s="196"/>
      <c r="E21" s="196"/>
      <c r="F21" s="196"/>
      <c r="G21" s="163"/>
      <c r="H21" s="163"/>
      <c r="I21" s="163"/>
      <c r="J21" s="197"/>
      <c r="K21" s="49"/>
      <c r="L21" s="50"/>
      <c r="M21" s="181"/>
      <c r="N21" s="182"/>
      <c r="O21" s="182"/>
      <c r="P21" s="182"/>
      <c r="Q21" s="182"/>
      <c r="R21" s="182"/>
      <c r="S21" s="182"/>
      <c r="T21" s="182"/>
      <c r="U21" s="182"/>
      <c r="V21" s="182"/>
      <c r="W21" s="183"/>
      <c r="X21" s="15"/>
      <c r="Y21" s="14"/>
      <c r="Z21" s="14"/>
      <c r="AA21" s="14"/>
      <c r="AB21" s="14"/>
      <c r="AC21" s="14"/>
      <c r="AD21" s="16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ht="15.75" thickBot="1" x14ac:dyDescent="0.3">
      <c r="A22" s="40" t="s">
        <v>37</v>
      </c>
      <c r="B22" s="104" t="s">
        <v>17</v>
      </c>
      <c r="C22" s="105"/>
      <c r="D22" s="105"/>
      <c r="E22" s="105"/>
      <c r="F22" s="106"/>
      <c r="G22" s="43" t="s">
        <v>38</v>
      </c>
      <c r="H22" s="140" t="s">
        <v>39</v>
      </c>
      <c r="I22" s="141"/>
      <c r="J22" s="140" t="s">
        <v>34</v>
      </c>
      <c r="K22" s="141"/>
      <c r="L22" s="41" t="s">
        <v>35</v>
      </c>
      <c r="M22" s="181"/>
      <c r="N22" s="182"/>
      <c r="O22" s="182"/>
      <c r="P22" s="182"/>
      <c r="Q22" s="182"/>
      <c r="R22" s="182"/>
      <c r="S22" s="182"/>
      <c r="T22" s="182"/>
      <c r="U22" s="182"/>
      <c r="V22" s="182"/>
      <c r="W22" s="183"/>
      <c r="X22" s="15"/>
      <c r="Y22" s="14"/>
      <c r="Z22" s="14"/>
      <c r="AA22" s="14"/>
      <c r="AB22" s="14"/>
      <c r="AC22" s="14"/>
      <c r="AD22" s="16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26">
        <v>1</v>
      </c>
      <c r="B23" s="107" t="s">
        <v>253</v>
      </c>
      <c r="C23" s="108"/>
      <c r="D23" s="108"/>
      <c r="E23" s="108"/>
      <c r="F23" s="109"/>
      <c r="G23" s="34">
        <v>70</v>
      </c>
      <c r="H23" s="142">
        <v>0</v>
      </c>
      <c r="I23" s="143"/>
      <c r="J23" s="142" t="s">
        <v>260</v>
      </c>
      <c r="K23" s="143"/>
      <c r="L23" s="51"/>
      <c r="M23" s="181"/>
      <c r="N23" s="182"/>
      <c r="O23" s="182"/>
      <c r="P23" s="182"/>
      <c r="Q23" s="182"/>
      <c r="R23" s="182"/>
      <c r="S23" s="182"/>
      <c r="T23" s="182"/>
      <c r="U23" s="182"/>
      <c r="V23" s="182"/>
      <c r="W23" s="183"/>
      <c r="X23" s="15"/>
      <c r="Y23" s="14"/>
      <c r="Z23" s="14"/>
      <c r="AA23" s="14"/>
      <c r="AB23" s="14"/>
      <c r="AC23" s="14"/>
      <c r="AD23" s="16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27">
        <v>2</v>
      </c>
      <c r="B24" s="110" t="s">
        <v>254</v>
      </c>
      <c r="C24" s="111"/>
      <c r="D24" s="111"/>
      <c r="E24" s="111"/>
      <c r="F24" s="112"/>
      <c r="G24" s="44">
        <v>70</v>
      </c>
      <c r="H24" s="144">
        <v>1E-3</v>
      </c>
      <c r="I24" s="145"/>
      <c r="J24" s="144" t="s">
        <v>260</v>
      </c>
      <c r="K24" s="145"/>
      <c r="L24" s="42"/>
      <c r="M24" s="181"/>
      <c r="N24" s="182"/>
      <c r="O24" s="182"/>
      <c r="P24" s="182"/>
      <c r="Q24" s="182"/>
      <c r="R24" s="182"/>
      <c r="S24" s="182"/>
      <c r="T24" s="182"/>
      <c r="U24" s="182"/>
      <c r="V24" s="182"/>
      <c r="W24" s="183"/>
      <c r="X24" s="15"/>
      <c r="Y24" s="14"/>
      <c r="Z24" s="14"/>
      <c r="AA24" s="14"/>
      <c r="AB24" s="14"/>
      <c r="AC24" s="14"/>
      <c r="AD24" s="16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28">
        <v>3</v>
      </c>
      <c r="B25" s="113" t="s">
        <v>255</v>
      </c>
      <c r="C25" s="114"/>
      <c r="D25" s="114"/>
      <c r="E25" s="114"/>
      <c r="F25" s="115"/>
      <c r="G25" s="38">
        <v>70</v>
      </c>
      <c r="H25" s="146">
        <v>2E-3</v>
      </c>
      <c r="I25" s="147"/>
      <c r="J25" s="146" t="s">
        <v>260</v>
      </c>
      <c r="K25" s="147"/>
      <c r="L25" s="39"/>
      <c r="M25" s="181"/>
      <c r="N25" s="182"/>
      <c r="O25" s="182"/>
      <c r="P25" s="182"/>
      <c r="Q25" s="182"/>
      <c r="R25" s="182"/>
      <c r="S25" s="182"/>
      <c r="T25" s="182"/>
      <c r="U25" s="182"/>
      <c r="V25" s="182"/>
      <c r="W25" s="183"/>
      <c r="X25" s="15"/>
      <c r="Y25" s="14"/>
      <c r="Z25" s="14"/>
      <c r="AA25" s="14"/>
      <c r="AB25" s="14"/>
      <c r="AC25" s="14"/>
      <c r="AD25" s="16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ht="15" customHeight="1" x14ac:dyDescent="0.25">
      <c r="A26" s="27">
        <v>4</v>
      </c>
      <c r="B26" s="110" t="s">
        <v>256</v>
      </c>
      <c r="C26" s="111"/>
      <c r="D26" s="111"/>
      <c r="E26" s="111"/>
      <c r="F26" s="112"/>
      <c r="G26" s="44">
        <v>70</v>
      </c>
      <c r="H26" s="144">
        <v>3.0000000000000001E-3</v>
      </c>
      <c r="I26" s="145"/>
      <c r="J26" s="144" t="s">
        <v>260</v>
      </c>
      <c r="K26" s="145"/>
      <c r="L26" s="42"/>
      <c r="M26" s="166" t="s">
        <v>40</v>
      </c>
      <c r="N26" s="167"/>
      <c r="O26" s="167"/>
      <c r="P26" s="167"/>
      <c r="Q26" s="167"/>
      <c r="R26" s="167"/>
      <c r="S26" s="167"/>
      <c r="T26" s="167"/>
      <c r="U26" s="167"/>
      <c r="V26" s="167"/>
      <c r="W26" s="168"/>
      <c r="X26" s="15"/>
      <c r="Y26" s="14"/>
      <c r="Z26" s="14"/>
      <c r="AA26" s="14"/>
      <c r="AB26" s="14"/>
      <c r="AC26" s="14"/>
      <c r="AD26" s="16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ht="15.75" customHeight="1" thickBot="1" x14ac:dyDescent="0.3">
      <c r="A27" s="29">
        <v>5</v>
      </c>
      <c r="B27" s="116" t="s">
        <v>257</v>
      </c>
      <c r="C27" s="117"/>
      <c r="D27" s="117"/>
      <c r="E27" s="117"/>
      <c r="F27" s="118"/>
      <c r="G27" s="46">
        <v>70</v>
      </c>
      <c r="H27" s="186">
        <v>4.0000000000000001E-3</v>
      </c>
      <c r="I27" s="155"/>
      <c r="J27" s="186" t="s">
        <v>260</v>
      </c>
      <c r="K27" s="155"/>
      <c r="L27" s="45"/>
      <c r="M27" s="169"/>
      <c r="N27" s="170"/>
      <c r="O27" s="170"/>
      <c r="P27" s="170"/>
      <c r="Q27" s="170"/>
      <c r="R27" s="170"/>
      <c r="S27" s="170"/>
      <c r="T27" s="170"/>
      <c r="U27" s="170"/>
      <c r="V27" s="170"/>
      <c r="W27" s="171"/>
      <c r="X27" s="15"/>
      <c r="Y27" s="14"/>
      <c r="Z27" s="14"/>
      <c r="AA27" s="14"/>
      <c r="AB27" s="14"/>
      <c r="AC27" s="14"/>
      <c r="AD27" s="16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ht="15.75" thickBot="1" x14ac:dyDescent="0.3">
      <c r="A28" s="165" t="s">
        <v>41</v>
      </c>
      <c r="B28" s="198"/>
      <c r="C28" s="198"/>
      <c r="D28" s="198"/>
      <c r="E28" s="198"/>
      <c r="F28" s="198"/>
      <c r="G28" s="134"/>
      <c r="H28" s="134"/>
      <c r="I28" s="134"/>
      <c r="J28" s="134"/>
      <c r="K28" s="134"/>
      <c r="L28" s="134"/>
      <c r="M28" s="134"/>
      <c r="N28" s="134"/>
      <c r="O28" s="134"/>
      <c r="P28" s="133" t="s">
        <v>42</v>
      </c>
      <c r="Q28" s="134"/>
      <c r="R28" s="134"/>
      <c r="S28" s="134"/>
      <c r="T28" s="134"/>
      <c r="U28" s="134"/>
      <c r="V28" s="134"/>
      <c r="W28" s="135"/>
      <c r="X28" s="15"/>
      <c r="Y28" s="14"/>
      <c r="Z28" s="14"/>
      <c r="AA28" s="14"/>
      <c r="AB28" s="14"/>
      <c r="AC28" s="14"/>
      <c r="AD28" s="16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6" t="s">
        <v>38</v>
      </c>
      <c r="B29" s="178" t="s">
        <v>43</v>
      </c>
      <c r="C29" s="179"/>
      <c r="D29" s="179"/>
      <c r="E29" s="179"/>
      <c r="F29" s="180"/>
      <c r="G29" s="35" t="s">
        <v>44</v>
      </c>
      <c r="H29" s="36" t="s">
        <v>45</v>
      </c>
      <c r="I29" s="125" t="s">
        <v>46</v>
      </c>
      <c r="J29" s="126"/>
      <c r="K29" s="125" t="s">
        <v>47</v>
      </c>
      <c r="L29" s="126"/>
      <c r="M29" s="125" t="s">
        <v>48</v>
      </c>
      <c r="N29" s="126"/>
      <c r="O29" s="10" t="s">
        <v>49</v>
      </c>
      <c r="P29" s="136" t="s">
        <v>50</v>
      </c>
      <c r="Q29" s="137"/>
      <c r="R29" s="137"/>
      <c r="S29" s="126"/>
      <c r="T29" s="36" t="s">
        <v>51</v>
      </c>
      <c r="U29" s="36" t="s">
        <v>52</v>
      </c>
      <c r="V29" s="36" t="s">
        <v>35</v>
      </c>
      <c r="W29" s="35" t="s">
        <v>24</v>
      </c>
      <c r="X29" s="15"/>
      <c r="Y29" s="14"/>
      <c r="Z29" s="14"/>
      <c r="AA29" s="14"/>
      <c r="AB29" s="14"/>
      <c r="AC29" s="14"/>
      <c r="AD29" s="16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3">
        <v>17</v>
      </c>
      <c r="B30" s="199" t="str">
        <f>_xlfn.IFNA(VLOOKUP(A30,'Construction Sheet'!$A$3:$D$50,2,FALSE), "")</f>
        <v>ø1" Millstar / OSG Bullmill</v>
      </c>
      <c r="C30" s="200"/>
      <c r="D30" s="200"/>
      <c r="E30" s="200"/>
      <c r="F30" s="201"/>
      <c r="G30" s="33" t="s">
        <v>194</v>
      </c>
      <c r="H30" s="33" t="s">
        <v>140</v>
      </c>
      <c r="I30" s="127" t="str">
        <f>IF($B30="","",IF(10&lt;$A30,IF($A30&lt;18,".002","N/A"),"N/A"))</f>
        <v>.002</v>
      </c>
      <c r="J30" s="121"/>
      <c r="K30" s="127" t="str">
        <f>IF($B30="","",IF($A30&gt;=1,IF($A30&lt;=33,VLOOKUP('Primary Operation 5'!$A30,'Construction Sheet'!$A$2:$F$35,5),""),""))</f>
        <v>Collet / Shrinkfit</v>
      </c>
      <c r="L30" s="121"/>
      <c r="M30" s="127" t="str">
        <f>IF($B30="","",IF($A30&gt;=1,IF($A30&lt;=33,VLOOKUP('Primary Operation 5'!$A30,'Construction Sheet'!$A$2:$F$35,6),""),""))</f>
        <v>Flood Coolant</v>
      </c>
      <c r="N30" s="121"/>
      <c r="O30" s="32" t="s">
        <v>263</v>
      </c>
      <c r="P30" s="119"/>
      <c r="Q30" s="120"/>
      <c r="R30" s="120"/>
      <c r="S30" s="121"/>
      <c r="T30" s="33"/>
      <c r="U30" s="33"/>
      <c r="V30" s="33"/>
      <c r="W30" s="33"/>
      <c r="X30" s="15"/>
      <c r="Y30" s="14"/>
      <c r="Z30" s="14"/>
      <c r="AA30" s="14"/>
      <c r="AB30" s="14"/>
      <c r="AC30" s="14"/>
      <c r="AD30" s="16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ht="15" customHeight="1" x14ac:dyDescent="0.25">
      <c r="A31" s="31">
        <v>71</v>
      </c>
      <c r="B31" s="205" t="s">
        <v>261</v>
      </c>
      <c r="C31" s="206"/>
      <c r="D31" s="206"/>
      <c r="E31" s="206"/>
      <c r="F31" s="207"/>
      <c r="G31" s="31" t="s">
        <v>259</v>
      </c>
      <c r="H31" s="31" t="s">
        <v>262</v>
      </c>
      <c r="I31" s="128" t="s">
        <v>130</v>
      </c>
      <c r="J31" s="124"/>
      <c r="K31" s="128" t="s">
        <v>173</v>
      </c>
      <c r="L31" s="124"/>
      <c r="M31" s="128" t="s">
        <v>128</v>
      </c>
      <c r="N31" s="124"/>
      <c r="O31" s="30" t="s">
        <v>209</v>
      </c>
      <c r="P31" s="122"/>
      <c r="Q31" s="123"/>
      <c r="R31" s="123"/>
      <c r="S31" s="124"/>
      <c r="T31" s="31"/>
      <c r="U31" s="31"/>
      <c r="V31" s="31"/>
      <c r="W31" s="31"/>
      <c r="X31" s="15"/>
      <c r="Y31" s="14"/>
      <c r="Z31" s="14"/>
      <c r="AA31" s="14"/>
      <c r="AB31" s="14"/>
      <c r="AC31" s="14"/>
      <c r="AD31" s="16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3">
        <v>70</v>
      </c>
      <c r="B32" s="199" t="s">
        <v>258</v>
      </c>
      <c r="C32" s="200"/>
      <c r="D32" s="200"/>
      <c r="E32" s="200"/>
      <c r="F32" s="201"/>
      <c r="G32" s="33" t="s">
        <v>259</v>
      </c>
      <c r="H32" s="33" t="s">
        <v>126</v>
      </c>
      <c r="I32" s="127" t="str">
        <f t="shared" ref="I32:I44" si="0">IF($B32="","",IF(10&lt;$A32,IF($A32&lt;18,".002","N/A"),"N/A"))</f>
        <v>N/A</v>
      </c>
      <c r="J32" s="121"/>
      <c r="K32" s="127" t="s">
        <v>173</v>
      </c>
      <c r="L32" s="121"/>
      <c r="M32" s="127" t="s">
        <v>128</v>
      </c>
      <c r="N32" s="121"/>
      <c r="O32" s="32" t="s">
        <v>235</v>
      </c>
      <c r="P32" s="119"/>
      <c r="Q32" s="120"/>
      <c r="R32" s="120"/>
      <c r="S32" s="121"/>
      <c r="T32" s="33"/>
      <c r="U32" s="33"/>
      <c r="V32" s="33"/>
      <c r="W32" s="33"/>
      <c r="X32" s="15"/>
      <c r="Y32" s="14"/>
      <c r="Z32" s="14"/>
      <c r="AA32" s="14"/>
      <c r="AB32" s="14"/>
      <c r="AC32" s="14"/>
      <c r="AD32" s="16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/>
      <c r="B33" s="205" t="str">
        <f>_xlfn.IFNA(VLOOKUP(A33,'Construction Sheet'!$A$3:$D$50,2,FALSE), "")</f>
        <v/>
      </c>
      <c r="C33" s="206"/>
      <c r="D33" s="206"/>
      <c r="E33" s="206"/>
      <c r="F33" s="207"/>
      <c r="G33" s="31" t="str">
        <f>_xlfn.IFNA(VLOOKUP(A33,'Construction Sheet'!$A$3:$D$50,3,FALSE),"")</f>
        <v/>
      </c>
      <c r="H33" s="31"/>
      <c r="I33" s="128" t="str">
        <f t="shared" si="0"/>
        <v/>
      </c>
      <c r="J33" s="124"/>
      <c r="K33" s="128" t="str">
        <f>IF($B33="","",IF($A33&gt;=1,IF($A33&lt;=33,VLOOKUP('Primary Operation 5'!$A33,'Construction Sheet'!$A$2:$F$35,5),""),""))</f>
        <v/>
      </c>
      <c r="L33" s="124"/>
      <c r="M33" s="128" t="str">
        <f>IF($B33="","",IF($A33&gt;=1,IF($A33&lt;=33,VLOOKUP('Primary Operation 5'!$A33,'Construction Sheet'!$A$2:$F$35,6),""),""))</f>
        <v/>
      </c>
      <c r="N33" s="124"/>
      <c r="O33" s="30"/>
      <c r="P33" s="122"/>
      <c r="Q33" s="123"/>
      <c r="R33" s="123"/>
      <c r="S33" s="124"/>
      <c r="T33" s="31"/>
      <c r="U33" s="31"/>
      <c r="V33" s="31"/>
      <c r="W33" s="31"/>
      <c r="X33" s="15"/>
      <c r="Y33" s="14"/>
      <c r="Z33" s="14"/>
      <c r="AA33" s="14"/>
      <c r="AB33" s="14"/>
      <c r="AC33" s="14"/>
      <c r="AD33" s="16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3"/>
      <c r="B34" s="199"/>
      <c r="C34" s="200"/>
      <c r="D34" s="200"/>
      <c r="E34" s="200"/>
      <c r="F34" s="201"/>
      <c r="G34" s="33"/>
      <c r="H34" s="33"/>
      <c r="I34" s="127"/>
      <c r="J34" s="121"/>
      <c r="K34" s="127"/>
      <c r="L34" s="121"/>
      <c r="M34" s="127"/>
      <c r="N34" s="121"/>
      <c r="O34" s="32"/>
      <c r="P34" s="119"/>
      <c r="Q34" s="120"/>
      <c r="R34" s="120"/>
      <c r="S34" s="121"/>
      <c r="T34" s="33"/>
      <c r="U34" s="33"/>
      <c r="V34" s="33"/>
      <c r="W34" s="33"/>
      <c r="X34" s="15"/>
      <c r="Y34" s="14"/>
      <c r="Z34" s="14"/>
      <c r="AA34" s="14"/>
      <c r="AB34" s="14"/>
      <c r="AC34" s="14"/>
      <c r="AD34" s="16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05" t="str">
        <f>_xlfn.IFNA(VLOOKUP(A35,'Construction Sheet'!$A$3:$D$50,2,FALSE), "")</f>
        <v/>
      </c>
      <c r="C35" s="206"/>
      <c r="D35" s="206"/>
      <c r="E35" s="206"/>
      <c r="F35" s="207"/>
      <c r="G35" s="31" t="str">
        <f>_xlfn.IFNA(VLOOKUP(A35,'Construction Sheet'!$A$3:$D$50,3,FALSE),"")</f>
        <v/>
      </c>
      <c r="H35" s="31"/>
      <c r="I35" s="128" t="str">
        <f t="shared" si="0"/>
        <v/>
      </c>
      <c r="J35" s="124"/>
      <c r="K35" s="128" t="str">
        <f>IF($B35="","",IF($A35&gt;=1,IF($A35&lt;=33,VLOOKUP('Primary Operation 5'!$A35,'Construction Sheet'!$A$2:$F$35,5),""),""))</f>
        <v/>
      </c>
      <c r="L35" s="124"/>
      <c r="M35" s="128" t="str">
        <f>IF($B35="","",IF($A35&gt;=1,IF($A35&lt;=33,VLOOKUP('Primary Operation 5'!$A35,'Construction Sheet'!$A$2:$F$35,6),""),""))</f>
        <v/>
      </c>
      <c r="N35" s="124"/>
      <c r="O35" s="30"/>
      <c r="P35" s="122"/>
      <c r="Q35" s="123"/>
      <c r="R35" s="123"/>
      <c r="S35" s="124"/>
      <c r="T35" s="31"/>
      <c r="U35" s="31"/>
      <c r="V35" s="31"/>
      <c r="W35" s="31"/>
      <c r="X35" s="15"/>
      <c r="Y35" s="14"/>
      <c r="Z35" s="14"/>
      <c r="AA35" s="14"/>
      <c r="AB35" s="14"/>
      <c r="AC35" s="14"/>
      <c r="AD35" s="16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3"/>
      <c r="B36" s="199" t="str">
        <f>_xlfn.IFNA(VLOOKUP(A36,'Construction Sheet'!$A$3:$D$50,2,FALSE), "")</f>
        <v/>
      </c>
      <c r="C36" s="200"/>
      <c r="D36" s="200"/>
      <c r="E36" s="200"/>
      <c r="F36" s="201"/>
      <c r="G36" s="33" t="str">
        <f>_xlfn.IFNA(VLOOKUP(A36,'Construction Sheet'!$A$3:$D$50,3,FALSE),"")</f>
        <v/>
      </c>
      <c r="H36" s="33"/>
      <c r="I36" s="127" t="str">
        <f t="shared" si="0"/>
        <v/>
      </c>
      <c r="J36" s="121"/>
      <c r="K36" s="127" t="str">
        <f>IF($B36="","",IF($A36&gt;=1,IF($A36&lt;=33,VLOOKUP('Primary Operation 5'!$A36,'Construction Sheet'!$A$2:$F$35,5),""),""))</f>
        <v/>
      </c>
      <c r="L36" s="121"/>
      <c r="M36" s="127" t="str">
        <f>IF($B36="","",IF($A36&gt;=1,IF($A36&lt;=33,VLOOKUP('Primary Operation 5'!$A36,'Construction Sheet'!$A$2:$F$35,6),""),""))</f>
        <v/>
      </c>
      <c r="N36" s="121"/>
      <c r="O36" s="32"/>
      <c r="P36" s="119"/>
      <c r="Q36" s="120"/>
      <c r="R36" s="120"/>
      <c r="S36" s="121"/>
      <c r="T36" s="33"/>
      <c r="U36" s="33"/>
      <c r="V36" s="33"/>
      <c r="W36" s="33"/>
      <c r="X36" s="15"/>
      <c r="Y36" s="14"/>
      <c r="Z36" s="14"/>
      <c r="AA36" s="14"/>
      <c r="AB36" s="14"/>
      <c r="AC36" s="14"/>
      <c r="AD36" s="16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05" t="str">
        <f>_xlfn.IFNA(VLOOKUP(A37,'Construction Sheet'!$A$3:$D$50,2,FALSE), "")</f>
        <v/>
      </c>
      <c r="C37" s="206"/>
      <c r="D37" s="206"/>
      <c r="E37" s="206"/>
      <c r="F37" s="207"/>
      <c r="G37" s="31" t="str">
        <f>_xlfn.IFNA(VLOOKUP(A37,'Construction Sheet'!$A$3:$D$50,3,FALSE),"")</f>
        <v/>
      </c>
      <c r="H37" s="31"/>
      <c r="I37" s="128" t="str">
        <f t="shared" si="0"/>
        <v/>
      </c>
      <c r="J37" s="124"/>
      <c r="K37" s="128" t="str">
        <f>IF($B37="","",IF($A37&gt;=1,IF($A37&lt;=33,VLOOKUP('Primary Operation 5'!$A37,'Construction Sheet'!$A$2:$F$35,5),""),""))</f>
        <v/>
      </c>
      <c r="L37" s="124"/>
      <c r="M37" s="128" t="str">
        <f>IF($B37="","",IF($A37&gt;=1,IF($A37&lt;=33,VLOOKUP('Primary Operation 5'!$A37,'Construction Sheet'!$A$2:$F$35,6),""),""))</f>
        <v/>
      </c>
      <c r="N37" s="124"/>
      <c r="O37" s="30"/>
      <c r="P37" s="122"/>
      <c r="Q37" s="123"/>
      <c r="R37" s="123"/>
      <c r="S37" s="124"/>
      <c r="T37" s="31"/>
      <c r="U37" s="31"/>
      <c r="V37" s="31"/>
      <c r="W37" s="31"/>
      <c r="X37" s="15"/>
      <c r="Y37" s="14"/>
      <c r="Z37" s="14"/>
      <c r="AA37" s="14"/>
      <c r="AB37" s="14"/>
      <c r="AC37" s="14"/>
      <c r="AD37" s="16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3"/>
      <c r="B38" s="199" t="str">
        <f>_xlfn.IFNA(VLOOKUP(A38,'Construction Sheet'!$A$3:$D$50,2,FALSE), "")</f>
        <v/>
      </c>
      <c r="C38" s="200"/>
      <c r="D38" s="200"/>
      <c r="E38" s="200"/>
      <c r="F38" s="201"/>
      <c r="G38" s="33" t="str">
        <f>_xlfn.IFNA(VLOOKUP(A38,'Construction Sheet'!$A$3:$D$50,3,FALSE),"")</f>
        <v/>
      </c>
      <c r="H38" s="33"/>
      <c r="I38" s="127" t="str">
        <f t="shared" si="0"/>
        <v/>
      </c>
      <c r="J38" s="121"/>
      <c r="K38" s="127" t="str">
        <f>IF($B38="","",IF($A38&gt;=1,IF($A38&lt;=33,VLOOKUP('Primary Operation 5'!$A38,'Construction Sheet'!$A$2:$F$35,5),""),""))</f>
        <v/>
      </c>
      <c r="L38" s="121"/>
      <c r="M38" s="127" t="str">
        <f>IF($B38="","",IF($A38&gt;=1,IF($A38&lt;=33,VLOOKUP('Primary Operation 5'!$A38,'Construction Sheet'!$A$2:$F$35,6),""),""))</f>
        <v/>
      </c>
      <c r="N38" s="121"/>
      <c r="O38" s="32"/>
      <c r="P38" s="119"/>
      <c r="Q38" s="120"/>
      <c r="R38" s="120"/>
      <c r="S38" s="121"/>
      <c r="T38" s="33"/>
      <c r="U38" s="33"/>
      <c r="V38" s="33"/>
      <c r="W38" s="33"/>
      <c r="X38" s="15"/>
      <c r="Y38" s="14"/>
      <c r="Z38" s="14"/>
      <c r="AA38" s="14"/>
      <c r="AB38" s="14"/>
      <c r="AC38" s="14"/>
      <c r="AD38" s="16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05" t="str">
        <f>_xlfn.IFNA(VLOOKUP(A39,'Construction Sheet'!$A$3:$D$50,2,FALSE), "")</f>
        <v/>
      </c>
      <c r="C39" s="206"/>
      <c r="D39" s="206"/>
      <c r="E39" s="206"/>
      <c r="F39" s="207"/>
      <c r="G39" s="31" t="str">
        <f>_xlfn.IFNA(VLOOKUP(A39,'Construction Sheet'!$A$3:$D$50,3,FALSE),"")</f>
        <v/>
      </c>
      <c r="H39" s="31"/>
      <c r="I39" s="128" t="str">
        <f t="shared" si="0"/>
        <v/>
      </c>
      <c r="J39" s="124"/>
      <c r="K39" s="128" t="str">
        <f>IF($B39="","",IF($A39&gt;=1,IF($A39&lt;=33,VLOOKUP('Primary Operation 5'!$A39,'Construction Sheet'!$A$2:$F$35,5),""),""))</f>
        <v/>
      </c>
      <c r="L39" s="124"/>
      <c r="M39" s="128" t="str">
        <f>IF($B39="","",IF($A39&gt;=1,IF($A39&lt;=33,VLOOKUP('Primary Operation 5'!$A39,'Construction Sheet'!$A$2:$F$35,6),""),""))</f>
        <v/>
      </c>
      <c r="N39" s="124"/>
      <c r="O39" s="30"/>
      <c r="P39" s="122"/>
      <c r="Q39" s="123"/>
      <c r="R39" s="123"/>
      <c r="S39" s="124"/>
      <c r="T39" s="31"/>
      <c r="U39" s="31"/>
      <c r="V39" s="31"/>
      <c r="W39" s="31"/>
      <c r="X39" s="15"/>
      <c r="Y39" s="14"/>
      <c r="Z39" s="14"/>
      <c r="AA39" s="14"/>
      <c r="AB39" s="14"/>
      <c r="AC39" s="14"/>
      <c r="AD39" s="16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3"/>
      <c r="B40" s="199" t="str">
        <f>_xlfn.IFNA(VLOOKUP(A40,'Construction Sheet'!$A$3:$D$50,2,FALSE), "")</f>
        <v/>
      </c>
      <c r="C40" s="200"/>
      <c r="D40" s="200"/>
      <c r="E40" s="200"/>
      <c r="F40" s="201"/>
      <c r="G40" s="33" t="str">
        <f>_xlfn.IFNA(VLOOKUP(A40,'Construction Sheet'!$A$3:$D$50,3,FALSE),"")</f>
        <v/>
      </c>
      <c r="H40" s="33"/>
      <c r="I40" s="127" t="str">
        <f t="shared" si="0"/>
        <v/>
      </c>
      <c r="J40" s="121"/>
      <c r="K40" s="127" t="str">
        <f>IF($B40="","",IF($A40&gt;=1,IF($A40&lt;=33,VLOOKUP('Primary Operation 5'!$A40,'Construction Sheet'!$A$2:$F$35,5),""),""))</f>
        <v/>
      </c>
      <c r="L40" s="121"/>
      <c r="M40" s="127" t="str">
        <f>IF($B40="","",IF($A40&gt;=1,IF($A40&lt;=33,VLOOKUP('Primary Operation 5'!$A40,'Construction Sheet'!$A$2:$F$35,6),""),""))</f>
        <v/>
      </c>
      <c r="N40" s="121"/>
      <c r="O40" s="32"/>
      <c r="P40" s="119"/>
      <c r="Q40" s="120"/>
      <c r="R40" s="120"/>
      <c r="S40" s="121"/>
      <c r="T40" s="33"/>
      <c r="U40" s="33"/>
      <c r="V40" s="33"/>
      <c r="W40" s="33"/>
      <c r="X40" s="15"/>
      <c r="Y40" s="14"/>
      <c r="Z40" s="14"/>
      <c r="AA40" s="14"/>
      <c r="AB40" s="14"/>
      <c r="AC40" s="14"/>
      <c r="AD40" s="16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31"/>
      <c r="B41" s="205" t="str">
        <f>_xlfn.IFNA(VLOOKUP(A41,'Construction Sheet'!$A$3:$D$50,2,FALSE), "")</f>
        <v/>
      </c>
      <c r="C41" s="206"/>
      <c r="D41" s="206"/>
      <c r="E41" s="206"/>
      <c r="F41" s="207"/>
      <c r="G41" s="31" t="str">
        <f>_xlfn.IFNA(VLOOKUP(A41,'Construction Sheet'!$A$3:$D$50,3,FALSE),"")</f>
        <v/>
      </c>
      <c r="H41" s="31"/>
      <c r="I41" s="128" t="str">
        <f t="shared" si="0"/>
        <v/>
      </c>
      <c r="J41" s="124"/>
      <c r="K41" s="128" t="str">
        <f>IF($B41="","",IF($A41&gt;=1,IF($A41&lt;=33,VLOOKUP('Primary Operation 5'!$A41,'Construction Sheet'!$A$2:$F$35,5),""),""))</f>
        <v/>
      </c>
      <c r="L41" s="124"/>
      <c r="M41" s="128" t="str">
        <f>IF($B41="","",IF($A41&gt;=1,IF($A41&lt;=33,VLOOKUP('Primary Operation 5'!$A41,'Construction Sheet'!$A$2:$F$35,6),""),""))</f>
        <v/>
      </c>
      <c r="N41" s="124"/>
      <c r="O41" s="30"/>
      <c r="P41" s="122"/>
      <c r="Q41" s="123"/>
      <c r="R41" s="123"/>
      <c r="S41" s="124"/>
      <c r="T41" s="31"/>
      <c r="U41" s="31"/>
      <c r="V41" s="31"/>
      <c r="W41" s="31"/>
      <c r="X41" s="15"/>
      <c r="Y41" s="14"/>
      <c r="Z41" s="14"/>
      <c r="AA41" s="14"/>
      <c r="AB41" s="14"/>
      <c r="AC41" s="14"/>
      <c r="AD41" s="16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3"/>
      <c r="B42" s="199" t="str">
        <f>_xlfn.IFNA(VLOOKUP(A42,'Construction Sheet'!$A$3:$D$50,2,FALSE), "")</f>
        <v/>
      </c>
      <c r="C42" s="200"/>
      <c r="D42" s="200"/>
      <c r="E42" s="200"/>
      <c r="F42" s="201"/>
      <c r="G42" s="33" t="str">
        <f>_xlfn.IFNA(VLOOKUP(A42,'Construction Sheet'!$A$3:$D$50,3,FALSE),"")</f>
        <v/>
      </c>
      <c r="H42" s="33"/>
      <c r="I42" s="127" t="str">
        <f t="shared" si="0"/>
        <v/>
      </c>
      <c r="J42" s="121"/>
      <c r="K42" s="127" t="str">
        <f>IF($B42="","",IF($A42&gt;=1,IF($A42&lt;=33,VLOOKUP('Primary Operation 5'!$A42,'Construction Sheet'!$A$2:$F$35,5),""),""))</f>
        <v/>
      </c>
      <c r="L42" s="121"/>
      <c r="M42" s="127" t="str">
        <f>IF($B42="","",IF($A42&gt;=1,IF($A42&lt;=33,VLOOKUP('Primary Operation 5'!$A42,'Construction Sheet'!$A$2:$F$35,6),""),""))</f>
        <v/>
      </c>
      <c r="N42" s="121"/>
      <c r="O42" s="32"/>
      <c r="P42" s="119"/>
      <c r="Q42" s="120"/>
      <c r="R42" s="120"/>
      <c r="S42" s="121"/>
      <c r="T42" s="33"/>
      <c r="U42" s="33"/>
      <c r="V42" s="33"/>
      <c r="W42" s="33"/>
      <c r="X42" s="15"/>
      <c r="Y42" s="14"/>
      <c r="Z42" s="14"/>
      <c r="AA42" s="14"/>
      <c r="AB42" s="14"/>
      <c r="AC42" s="14"/>
      <c r="AD42" s="16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31"/>
      <c r="B43" s="205" t="str">
        <f>_xlfn.IFNA(VLOOKUP(A43,'Construction Sheet'!$A$3:$D$50,2,FALSE), "")</f>
        <v/>
      </c>
      <c r="C43" s="206"/>
      <c r="D43" s="206"/>
      <c r="E43" s="206"/>
      <c r="F43" s="207"/>
      <c r="G43" s="31" t="str">
        <f>_xlfn.IFNA(VLOOKUP(A43,'Construction Sheet'!$A$3:$D$50,3,FALSE),"")</f>
        <v/>
      </c>
      <c r="H43" s="31"/>
      <c r="I43" s="128" t="str">
        <f t="shared" si="0"/>
        <v/>
      </c>
      <c r="J43" s="124"/>
      <c r="K43" s="128" t="str">
        <f>IF($B43="","",IF($A43&gt;=1,IF($A43&lt;=33,VLOOKUP('Primary Operation 5'!$A43,'Construction Sheet'!$A$2:$F$35,5),""),""))</f>
        <v/>
      </c>
      <c r="L43" s="124"/>
      <c r="M43" s="128" t="str">
        <f>IF($B43="","",IF($A43&gt;=1,IF($A43&lt;=33,VLOOKUP('Primary Operation 5'!$A43,'Construction Sheet'!$A$2:$F$35,6),""),""))</f>
        <v/>
      </c>
      <c r="N43" s="124"/>
      <c r="O43" s="30"/>
      <c r="P43" s="122"/>
      <c r="Q43" s="123"/>
      <c r="R43" s="123"/>
      <c r="S43" s="124"/>
      <c r="T43" s="31"/>
      <c r="U43" s="31"/>
      <c r="V43" s="31"/>
      <c r="W43" s="31"/>
      <c r="X43" s="15"/>
      <c r="Y43" s="14"/>
      <c r="Z43" s="14"/>
      <c r="AA43" s="14"/>
      <c r="AB43" s="14"/>
      <c r="AC43" s="14"/>
      <c r="AD43" s="16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ht="15.75" thickBot="1" x14ac:dyDescent="0.3">
      <c r="A44" s="47"/>
      <c r="B44" s="208" t="str">
        <f>_xlfn.IFNA(VLOOKUP(A44,'Construction Sheet'!$A$3:$D$50,2,FALSE), "")</f>
        <v/>
      </c>
      <c r="C44" s="209"/>
      <c r="D44" s="209"/>
      <c r="E44" s="209"/>
      <c r="F44" s="210"/>
      <c r="G44" s="47" t="str">
        <f>_xlfn.IFNA(VLOOKUP(A44,'Construction Sheet'!$A$3:$D$50,3,FALSE),"")</f>
        <v/>
      </c>
      <c r="H44" s="47"/>
      <c r="I44" s="129" t="str">
        <f t="shared" si="0"/>
        <v/>
      </c>
      <c r="J44" s="130"/>
      <c r="K44" s="129" t="str">
        <f>IF($B44="","",IF($A44&gt;=1,IF($A44&lt;=33,VLOOKUP('Primary Operation 5'!$A44,'Construction Sheet'!$A$2:$F$35,5),""),""))</f>
        <v/>
      </c>
      <c r="L44" s="130"/>
      <c r="M44" s="129" t="str">
        <f>IF($B44="","",IF($A44&gt;=1,IF($A44&lt;=33,VLOOKUP('Primary Operation 5'!$A44,'Construction Sheet'!$A$2:$F$35,6),""),""))</f>
        <v/>
      </c>
      <c r="N44" s="130"/>
      <c r="O44" s="48"/>
      <c r="P44" s="131"/>
      <c r="Q44" s="132"/>
      <c r="R44" s="132"/>
      <c r="S44" s="130"/>
      <c r="T44" s="47"/>
      <c r="U44" s="47"/>
      <c r="V44" s="47"/>
      <c r="W44" s="47"/>
      <c r="X44" s="15"/>
      <c r="Y44" s="14"/>
      <c r="Z44" s="14"/>
      <c r="AA44" s="14"/>
      <c r="AB44" s="14"/>
      <c r="AC44" s="14"/>
      <c r="AD44" s="16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ht="15.75" thickBot="1" x14ac:dyDescent="0.3">
      <c r="A45" s="97" t="s">
        <v>53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9"/>
      <c r="T45" s="97" t="s">
        <v>54</v>
      </c>
      <c r="U45" s="99"/>
      <c r="V45" s="98" t="s">
        <v>55</v>
      </c>
      <c r="W45" s="99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</row>
    <row r="46" spans="1:46" ht="15" customHeight="1" x14ac:dyDescent="0.25">
      <c r="A46" s="91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3"/>
      <c r="T46" s="100"/>
      <c r="U46" s="101"/>
      <c r="V46" s="100"/>
      <c r="W46" s="101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</row>
    <row r="47" spans="1:46" ht="15" customHeight="1" x14ac:dyDescent="0.25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3"/>
      <c r="T47" s="100"/>
      <c r="U47" s="101"/>
      <c r="V47" s="100"/>
      <c r="W47" s="101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</row>
    <row r="48" spans="1:46" ht="15" customHeight="1" x14ac:dyDescent="0.25">
      <c r="A48" s="91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3"/>
      <c r="T48" s="100"/>
      <c r="U48" s="101"/>
      <c r="V48" s="100"/>
      <c r="W48" s="101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</row>
    <row r="49" spans="1:46" ht="15.75" customHeight="1" x14ac:dyDescent="0.25">
      <c r="A49" s="91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3"/>
      <c r="T49" s="100"/>
      <c r="U49" s="101"/>
      <c r="V49" s="100"/>
      <c r="W49" s="101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</row>
    <row r="50" spans="1:46" ht="15.75" customHeight="1" x14ac:dyDescent="0.25">
      <c r="A50" s="91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3"/>
      <c r="T50" s="100"/>
      <c r="U50" s="101"/>
      <c r="V50" s="100"/>
      <c r="W50" s="101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</row>
    <row r="51" spans="1:46" ht="15.75" customHeight="1" thickBot="1" x14ac:dyDescent="0.3">
      <c r="A51" s="94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102"/>
      <c r="U51" s="103"/>
      <c r="V51" s="102"/>
      <c r="W51" s="103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</row>
    <row r="52" spans="1:46" x14ac:dyDescent="0.25">
      <c r="A52" s="185" t="s">
        <v>190</v>
      </c>
      <c r="B52" s="185"/>
      <c r="C52" s="185"/>
      <c r="D52" s="78" t="str" cm="1">
        <f t="array" aca="1" ref="D52" ca="1">MID(CELL("filename",A1),FIND("[",CELL("filename",A1))+1,FIND(".xlsm",CELL("filename",A1))-FIND("[",CELL("filename",A1))-1)</f>
        <v>import_test</v>
      </c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 t="str">
        <f>IF(ISBLANK(Cover!D6),"",Cover!D6)</f>
        <v>26-0099</v>
      </c>
      <c r="V52" s="78"/>
      <c r="W52" s="78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</sheetData>
  <sheetProtection selectLockedCells="1"/>
  <mergeCells count="172">
    <mergeCell ref="T45:U45"/>
    <mergeCell ref="V45:W45"/>
    <mergeCell ref="A46:S51"/>
    <mergeCell ref="T46:U51"/>
    <mergeCell ref="V46:W51"/>
    <mergeCell ref="A52:C52"/>
    <mergeCell ref="D52:T52"/>
    <mergeCell ref="U52:W52"/>
    <mergeCell ref="B44:F44"/>
    <mergeCell ref="I44:J44"/>
    <mergeCell ref="K44:L44"/>
    <mergeCell ref="M44:N44"/>
    <mergeCell ref="P44:S44"/>
    <mergeCell ref="A45:S45"/>
    <mergeCell ref="B42:F42"/>
    <mergeCell ref="I42:J42"/>
    <mergeCell ref="K42:L42"/>
    <mergeCell ref="M42:N42"/>
    <mergeCell ref="P42:S42"/>
    <mergeCell ref="B43:F43"/>
    <mergeCell ref="I43:J43"/>
    <mergeCell ref="K43:L43"/>
    <mergeCell ref="M43:N43"/>
    <mergeCell ref="P43:S43"/>
    <mergeCell ref="B40:F40"/>
    <mergeCell ref="I40:J40"/>
    <mergeCell ref="K40:L40"/>
    <mergeCell ref="M40:N40"/>
    <mergeCell ref="P40:S40"/>
    <mergeCell ref="B41:F41"/>
    <mergeCell ref="I41:J41"/>
    <mergeCell ref="K41:L41"/>
    <mergeCell ref="M41:N41"/>
    <mergeCell ref="P41:S41"/>
    <mergeCell ref="B38:F38"/>
    <mergeCell ref="I38:J38"/>
    <mergeCell ref="K38:L38"/>
    <mergeCell ref="M38:N38"/>
    <mergeCell ref="P38:S38"/>
    <mergeCell ref="B39:F39"/>
    <mergeCell ref="I39:J39"/>
    <mergeCell ref="K39:L39"/>
    <mergeCell ref="M39:N39"/>
    <mergeCell ref="P39:S39"/>
    <mergeCell ref="B36:F36"/>
    <mergeCell ref="I36:J36"/>
    <mergeCell ref="K36:L36"/>
    <mergeCell ref="M36:N36"/>
    <mergeCell ref="P36:S36"/>
    <mergeCell ref="B37:F37"/>
    <mergeCell ref="I37:J37"/>
    <mergeCell ref="K37:L37"/>
    <mergeCell ref="M37:N37"/>
    <mergeCell ref="P37:S37"/>
    <mergeCell ref="B34:F34"/>
    <mergeCell ref="I34:J34"/>
    <mergeCell ref="K34:L34"/>
    <mergeCell ref="M34:N34"/>
    <mergeCell ref="P34:S34"/>
    <mergeCell ref="B35:F35"/>
    <mergeCell ref="I35:J35"/>
    <mergeCell ref="K35:L35"/>
    <mergeCell ref="M35:N35"/>
    <mergeCell ref="P35:S35"/>
    <mergeCell ref="B32:F32"/>
    <mergeCell ref="I32:J32"/>
    <mergeCell ref="K32:L32"/>
    <mergeCell ref="M32:N32"/>
    <mergeCell ref="P32:S32"/>
    <mergeCell ref="B33:F33"/>
    <mergeCell ref="I33:J33"/>
    <mergeCell ref="K33:L33"/>
    <mergeCell ref="M33:N33"/>
    <mergeCell ref="P33:S33"/>
    <mergeCell ref="B30:F30"/>
    <mergeCell ref="I30:J30"/>
    <mergeCell ref="K30:L30"/>
    <mergeCell ref="M30:N30"/>
    <mergeCell ref="P30:S30"/>
    <mergeCell ref="B31:F31"/>
    <mergeCell ref="I31:J31"/>
    <mergeCell ref="K31:L31"/>
    <mergeCell ref="M31:N31"/>
    <mergeCell ref="P31:S31"/>
    <mergeCell ref="A28:O28"/>
    <mergeCell ref="P28:W28"/>
    <mergeCell ref="B29:F29"/>
    <mergeCell ref="I29:J29"/>
    <mergeCell ref="K29:L29"/>
    <mergeCell ref="M29:N29"/>
    <mergeCell ref="P29:S29"/>
    <mergeCell ref="B26:F26"/>
    <mergeCell ref="H26:I26"/>
    <mergeCell ref="J26:K26"/>
    <mergeCell ref="M26:W27"/>
    <mergeCell ref="B27:F27"/>
    <mergeCell ref="H27:I27"/>
    <mergeCell ref="J27:K27"/>
    <mergeCell ref="B24:F24"/>
    <mergeCell ref="H24:I24"/>
    <mergeCell ref="J24:K24"/>
    <mergeCell ref="B25:F25"/>
    <mergeCell ref="H25:I25"/>
    <mergeCell ref="J25:K25"/>
    <mergeCell ref="A21:J21"/>
    <mergeCell ref="B22:F22"/>
    <mergeCell ref="H22:I22"/>
    <mergeCell ref="J22:K22"/>
    <mergeCell ref="B23:F23"/>
    <mergeCell ref="H23:I23"/>
    <mergeCell ref="J23:K23"/>
    <mergeCell ref="A19:B19"/>
    <mergeCell ref="C19:I19"/>
    <mergeCell ref="J19:K19"/>
    <mergeCell ref="A20:B20"/>
    <mergeCell ref="C20:I20"/>
    <mergeCell ref="J20:K20"/>
    <mergeCell ref="A17:B17"/>
    <mergeCell ref="C17:I17"/>
    <mergeCell ref="J17:K17"/>
    <mergeCell ref="A18:B18"/>
    <mergeCell ref="C18:I18"/>
    <mergeCell ref="J18:K18"/>
    <mergeCell ref="A14:L14"/>
    <mergeCell ref="A15:B15"/>
    <mergeCell ref="C15:I15"/>
    <mergeCell ref="J15:K15"/>
    <mergeCell ref="A16:B16"/>
    <mergeCell ref="C16:I16"/>
    <mergeCell ref="J16:K16"/>
    <mergeCell ref="B12:D12"/>
    <mergeCell ref="E12:H12"/>
    <mergeCell ref="I12:J12"/>
    <mergeCell ref="K12:L12"/>
    <mergeCell ref="B13:D13"/>
    <mergeCell ref="E13:F13"/>
    <mergeCell ref="G13:L13"/>
    <mergeCell ref="E11:H11"/>
    <mergeCell ref="I11:J11"/>
    <mergeCell ref="K11:L11"/>
    <mergeCell ref="B8:D8"/>
    <mergeCell ref="E8:H8"/>
    <mergeCell ref="I8:J8"/>
    <mergeCell ref="K8:L8"/>
    <mergeCell ref="B9:D9"/>
    <mergeCell ref="E9:H9"/>
    <mergeCell ref="I9:J9"/>
    <mergeCell ref="K9:L9"/>
    <mergeCell ref="A1:W2"/>
    <mergeCell ref="A3:L3"/>
    <mergeCell ref="M3:W3"/>
    <mergeCell ref="A4:B4"/>
    <mergeCell ref="C4:F4"/>
    <mergeCell ref="G4:H4"/>
    <mergeCell ref="I4:J4"/>
    <mergeCell ref="K4:L4"/>
    <mergeCell ref="M4:W25"/>
    <mergeCell ref="A5:B5"/>
    <mergeCell ref="C5:F5"/>
    <mergeCell ref="G5:H5"/>
    <mergeCell ref="I5:J5"/>
    <mergeCell ref="K5:L5"/>
    <mergeCell ref="A6:L6"/>
    <mergeCell ref="B7:D7"/>
    <mergeCell ref="E7:H7"/>
    <mergeCell ref="I7:J7"/>
    <mergeCell ref="K7:L7"/>
    <mergeCell ref="B10:D10"/>
    <mergeCell ref="E10:H10"/>
    <mergeCell ref="I10:J10"/>
    <mergeCell ref="K10:L10"/>
    <mergeCell ref="B11:D11"/>
  </mergeCells>
  <conditionalFormatting sqref="I30:I44">
    <cfRule type="notContainsText" dxfId="22" priority="5" operator="notContains" text="N/A">
      <formula>ISERROR(SEARCH("N/A",I30))</formula>
    </cfRule>
  </conditionalFormatting>
  <conditionalFormatting sqref="G30:G44">
    <cfRule type="expression" dxfId="21" priority="1">
      <formula>AND(IF($A30&gt;10,1),IF($A30&lt;18,1),IF($G30=".015",1))</formula>
    </cfRule>
    <cfRule type="expression" dxfId="20" priority="4">
      <formula>AND(IF($A30&gt;10,1),IF($A30&lt;18,1),IF($G30=".015r",1))</formula>
    </cfRule>
  </conditionalFormatting>
  <conditionalFormatting sqref="T46 V46">
    <cfRule type="notContainsText" dxfId="19" priority="2" operator="notContains" text="N/A">
      <formula>ISERROR(SEARCH("N/A",T46))</formula>
    </cfRule>
    <cfRule type="containsText" dxfId="18" priority="3" operator="containsText" text="N/A">
      <formula>NOT(ISERROR(SEARCH("N/A",T46)))</formula>
    </cfRule>
  </conditionalFormatting>
  <pageMargins left="0" right="0" top="0" bottom="0" header="0.3" footer="0.3"/>
  <pageSetup paperSize="17" orientation="landscape" r:id="rId1"/>
  <ignoredErrors>
    <ignoredError sqref="A4:W4 A6:W7 B5 L5:W5 D5:F5 H5 A11:W12 A8 C8:W8 A9 C9:W9 A10 C10:W10 A14:W22 A13 C13:F13 A33:W33 B30:F30 I30:N30 P30:W30 P31:W31 H13:W13 A28:W29 A23 C23:F23 A24 C24:F24 A25 C25:F25 A26 C26:F26 A27 C27:F27 A35:W44 T34:W34 I23 I24 I25 I26 I27 K23:W23 K24:W24 K25:W25 K26:W26 K27:W27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500-000000000000}">
          <x14:formula1>
            <xm:f>'Construction Sheet'!$M$2:$M$3</xm:f>
          </x14:formula1>
          <xm:sqref>B11:D11</xm:sqref>
        </x14:dataValidation>
        <x14:dataValidation type="list" allowBlank="1" xr:uid="{00000000-0002-0000-0500-000001000000}">
          <x14:formula1>
            <xm:f>'Construction Sheet'!$N$2</xm:f>
          </x14:formula1>
          <xm:sqref>B12:D12</xm:sqref>
        </x14:dataValidation>
        <x14:dataValidation type="list" allowBlank="1" showInputMessage="1" xr:uid="{00000000-0002-0000-0500-000002000000}">
          <x14:formula1>
            <xm:f>'Construction Sheet'!$I$32:$I$36</xm:f>
          </x14:formula1>
          <xm:sqref>M30:N44</xm:sqref>
        </x14:dataValidation>
        <x14:dataValidation type="list" allowBlank="1" showInputMessage="1" xr:uid="{00000000-0002-0000-0500-000003000000}">
          <x14:formula1>
            <xm:f>'Construction Sheet'!$H$32:$H$38</xm:f>
          </x14:formula1>
          <xm:sqref>K30:L44</xm:sqref>
        </x14:dataValidation>
        <x14:dataValidation type="list" allowBlank="1" showInputMessage="1" xr:uid="{00000000-0002-0000-0500-000004000000}">
          <x14:formula1>
            <xm:f>'Construction Sheet'!$K$26</xm:f>
          </x14:formula1>
          <xm:sqref>I5:J5</xm:sqref>
        </x14:dataValidation>
        <x14:dataValidation type="list" allowBlank="1" xr:uid="{00000000-0002-0000-0500-000005000000}">
          <x14:formula1>
            <xm:f>'Construction Sheet'!$H$2:$H$5</xm:f>
          </x14:formula1>
          <xm:sqref>A5:B5</xm:sqref>
        </x14:dataValidation>
        <x14:dataValidation type="list" allowBlank="1" xr:uid="{00000000-0002-0000-0500-000006000000}">
          <x14:formula1>
            <xm:f>'Construction Sheet'!$L$2:$L$4</xm:f>
          </x14:formula1>
          <xm:sqref>B10</xm:sqref>
        </x14:dataValidation>
        <x14:dataValidation type="list" allowBlank="1" xr:uid="{00000000-0002-0000-0500-000007000000}">
          <x14:formula1>
            <xm:f>'Construction Sheet'!$K$2:$K$3</xm:f>
          </x14:formula1>
          <xm:sqref>B8:B9</xm:sqref>
        </x14:dataValidation>
        <x14:dataValidation type="list" allowBlank="1" xr:uid="{00000000-0002-0000-0500-000008000000}">
          <x14:formula1>
            <xm:f>'Construction Sheet'!$I$2:$I$5</xm:f>
          </x14:formula1>
          <xm:sqref>G5</xm:sqref>
        </x14:dataValidation>
        <x14:dataValidation type="list" allowBlank="1" xr:uid="{00000000-0002-0000-0500-000009000000}">
          <x14:formula1>
            <xm:f>'Construction Sheet'!$G$2:$G$4</xm:f>
          </x14:formula1>
          <xm:sqref>B13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1"/>
  </sheetPr>
  <dimension ref="A1:AT52"/>
  <sheetViews>
    <sheetView view="pageLayout" zoomScaleNormal="100" workbookViewId="0">
      <selection activeCell="A46" sqref="A46:S51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46" ht="12.75" customHeight="1" x14ac:dyDescent="0.25">
      <c r="A1" s="138" t="s">
        <v>60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5" customHeight="1" thickBot="1" x14ac:dyDescent="0.3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5.75" thickBot="1" x14ac:dyDescent="0.3">
      <c r="A3" s="165" t="s">
        <v>12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5"/>
      <c r="M3" s="165" t="s">
        <v>13</v>
      </c>
      <c r="N3" s="134"/>
      <c r="O3" s="134"/>
      <c r="P3" s="134"/>
      <c r="Q3" s="134"/>
      <c r="R3" s="134"/>
      <c r="S3" s="134"/>
      <c r="T3" s="134"/>
      <c r="U3" s="134"/>
      <c r="V3" s="134"/>
      <c r="W3" s="135"/>
      <c r="X3" s="12"/>
      <c r="Y3" s="13"/>
      <c r="Z3" s="13"/>
      <c r="AA3" s="13"/>
      <c r="AB3" s="13"/>
      <c r="AC3" s="13"/>
      <c r="AD3" s="12"/>
      <c r="AE3" s="13"/>
      <c r="AF3" s="13"/>
      <c r="AG3" s="13"/>
      <c r="AH3" s="13"/>
      <c r="AI3" s="13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8" t="s">
        <v>14</v>
      </c>
      <c r="B4" s="184"/>
      <c r="C4" s="148" t="s">
        <v>15</v>
      </c>
      <c r="D4" s="184"/>
      <c r="E4" s="184"/>
      <c r="F4" s="149"/>
      <c r="G4" s="148" t="s">
        <v>16</v>
      </c>
      <c r="H4" s="149"/>
      <c r="I4" s="148" t="s">
        <v>17</v>
      </c>
      <c r="J4" s="149"/>
      <c r="K4" s="148" t="s">
        <v>18</v>
      </c>
      <c r="L4" s="184"/>
      <c r="M4" s="178"/>
      <c r="N4" s="179"/>
      <c r="O4" s="179"/>
      <c r="P4" s="179"/>
      <c r="Q4" s="179"/>
      <c r="R4" s="179"/>
      <c r="S4" s="179"/>
      <c r="T4" s="179"/>
      <c r="U4" s="179"/>
      <c r="V4" s="179"/>
      <c r="W4" s="180"/>
      <c r="X4" s="15"/>
      <c r="Y4" s="14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.75" thickBot="1" x14ac:dyDescent="0.3">
      <c r="A5" s="160" t="s">
        <v>204</v>
      </c>
      <c r="B5" s="161"/>
      <c r="C5" s="157" t="s">
        <v>245</v>
      </c>
      <c r="D5" s="158"/>
      <c r="E5" s="158"/>
      <c r="F5" s="159"/>
      <c r="G5" s="160" t="s">
        <v>86</v>
      </c>
      <c r="H5" s="161"/>
      <c r="I5" s="160" t="s">
        <v>246</v>
      </c>
      <c r="J5" s="161"/>
      <c r="K5" s="160" t="s">
        <v>264</v>
      </c>
      <c r="L5" s="164"/>
      <c r="M5" s="181"/>
      <c r="N5" s="182"/>
      <c r="O5" s="182"/>
      <c r="P5" s="182"/>
      <c r="Q5" s="182"/>
      <c r="R5" s="182"/>
      <c r="S5" s="182"/>
      <c r="T5" s="182"/>
      <c r="U5" s="182"/>
      <c r="V5" s="182"/>
      <c r="W5" s="183"/>
      <c r="X5" s="15"/>
      <c r="Y5" s="14"/>
      <c r="Z5" s="14"/>
      <c r="AA5" s="14"/>
      <c r="AB5" s="14"/>
      <c r="AC5" s="14"/>
      <c r="AD5" s="16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ht="15.75" thickBot="1" x14ac:dyDescent="0.3">
      <c r="A6" s="162" t="s">
        <v>19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81"/>
      <c r="N6" s="182"/>
      <c r="O6" s="182"/>
      <c r="P6" s="182"/>
      <c r="Q6" s="182"/>
      <c r="R6" s="182"/>
      <c r="S6" s="182"/>
      <c r="T6" s="182"/>
      <c r="U6" s="182"/>
      <c r="V6" s="182"/>
      <c r="W6" s="183"/>
      <c r="X6" s="15"/>
      <c r="Y6" s="14"/>
      <c r="Z6" s="14"/>
      <c r="AA6" s="14"/>
      <c r="AB6" s="14"/>
      <c r="AC6" s="14"/>
      <c r="AD6" s="16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ht="15.75" thickBot="1" x14ac:dyDescent="0.3">
      <c r="A7" s="7" t="s">
        <v>20</v>
      </c>
      <c r="B7" s="140" t="s">
        <v>21</v>
      </c>
      <c r="C7" s="150"/>
      <c r="D7" s="141"/>
      <c r="E7" s="140" t="s">
        <v>22</v>
      </c>
      <c r="F7" s="150"/>
      <c r="G7" s="150"/>
      <c r="H7" s="141"/>
      <c r="I7" s="140" t="s">
        <v>23</v>
      </c>
      <c r="J7" s="141"/>
      <c r="K7" s="140" t="s">
        <v>24</v>
      </c>
      <c r="L7" s="150"/>
      <c r="M7" s="181"/>
      <c r="N7" s="182"/>
      <c r="O7" s="182"/>
      <c r="P7" s="182"/>
      <c r="Q7" s="182"/>
      <c r="R7" s="182"/>
      <c r="S7" s="182"/>
      <c r="T7" s="182"/>
      <c r="U7" s="182"/>
      <c r="V7" s="182"/>
      <c r="W7" s="183"/>
      <c r="X7" s="15"/>
      <c r="Y7" s="14"/>
      <c r="Z7" s="14"/>
      <c r="AA7" s="14"/>
      <c r="AB7" s="14"/>
      <c r="AC7" s="14"/>
      <c r="AD7" s="16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24" t="s">
        <v>25</v>
      </c>
      <c r="B8" s="175" t="s">
        <v>247</v>
      </c>
      <c r="C8" s="176"/>
      <c r="D8" s="177"/>
      <c r="E8" s="142"/>
      <c r="F8" s="151"/>
      <c r="G8" s="151"/>
      <c r="H8" s="143"/>
      <c r="I8" s="142"/>
      <c r="J8" s="173"/>
      <c r="K8" s="172"/>
      <c r="L8" s="143"/>
      <c r="M8" s="181"/>
      <c r="N8" s="182"/>
      <c r="O8" s="182"/>
      <c r="P8" s="182"/>
      <c r="Q8" s="182"/>
      <c r="R8" s="182"/>
      <c r="S8" s="182"/>
      <c r="T8" s="182"/>
      <c r="U8" s="182"/>
      <c r="V8" s="182"/>
      <c r="W8" s="183"/>
      <c r="X8" s="15"/>
      <c r="Y8" s="14"/>
      <c r="Z8" s="14"/>
      <c r="AA8" s="14"/>
      <c r="AB8" s="14"/>
      <c r="AC8" s="14"/>
      <c r="AD8" s="16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3" t="s">
        <v>26</v>
      </c>
      <c r="B9" s="128" t="s">
        <v>242</v>
      </c>
      <c r="C9" s="123"/>
      <c r="D9" s="124"/>
      <c r="E9" s="144"/>
      <c r="F9" s="152"/>
      <c r="G9" s="152"/>
      <c r="H9" s="145"/>
      <c r="I9" s="144"/>
      <c r="J9" s="174"/>
      <c r="K9" s="156"/>
      <c r="L9" s="145"/>
      <c r="M9" s="181"/>
      <c r="N9" s="182"/>
      <c r="O9" s="182"/>
      <c r="P9" s="182"/>
      <c r="Q9" s="182"/>
      <c r="R9" s="182"/>
      <c r="S9" s="182"/>
      <c r="T9" s="182"/>
      <c r="U9" s="182"/>
      <c r="V9" s="182"/>
      <c r="W9" s="183"/>
      <c r="X9" s="15"/>
      <c r="Y9" s="14"/>
      <c r="Z9" s="14"/>
      <c r="AA9" s="14"/>
      <c r="AB9" s="14"/>
      <c r="AC9" s="14"/>
      <c r="AD9" s="16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8" t="s">
        <v>27</v>
      </c>
      <c r="B10" s="127" t="s">
        <v>102</v>
      </c>
      <c r="C10" s="120"/>
      <c r="D10" s="121"/>
      <c r="E10" s="146"/>
      <c r="F10" s="153"/>
      <c r="G10" s="153"/>
      <c r="H10" s="147"/>
      <c r="I10" s="146"/>
      <c r="J10" s="188"/>
      <c r="K10" s="189"/>
      <c r="L10" s="147"/>
      <c r="M10" s="181"/>
      <c r="N10" s="182"/>
      <c r="O10" s="182"/>
      <c r="P10" s="182"/>
      <c r="Q10" s="182"/>
      <c r="R10" s="182"/>
      <c r="S10" s="182"/>
      <c r="T10" s="182"/>
      <c r="U10" s="182"/>
      <c r="V10" s="182"/>
      <c r="W10" s="183"/>
      <c r="X10" s="15"/>
      <c r="Y10" s="14"/>
      <c r="Z10" s="14"/>
      <c r="AA10" s="14"/>
      <c r="AB10" s="14"/>
      <c r="AC10" s="14"/>
      <c r="AD10" s="16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3" t="s">
        <v>28</v>
      </c>
      <c r="B11" s="128" t="str" cm="1">
        <f t="array" ref="B11">_xlfn.IFS(G5="VMC","N/A",G5="HBMX","",G5="Lathe","N/A",G5="VMC / Rotary A","",G5="","")</f>
        <v>N/A</v>
      </c>
      <c r="C11" s="123"/>
      <c r="D11" s="124"/>
      <c r="E11" s="144"/>
      <c r="F11" s="152"/>
      <c r="G11" s="152"/>
      <c r="H11" s="145"/>
      <c r="I11" s="144"/>
      <c r="J11" s="174"/>
      <c r="K11" s="156"/>
      <c r="L11" s="145"/>
      <c r="M11" s="181"/>
      <c r="N11" s="182"/>
      <c r="O11" s="182"/>
      <c r="P11" s="182"/>
      <c r="Q11" s="182"/>
      <c r="R11" s="182"/>
      <c r="S11" s="182"/>
      <c r="T11" s="182"/>
      <c r="U11" s="182"/>
      <c r="V11" s="182"/>
      <c r="W11" s="183"/>
      <c r="X11" s="15"/>
      <c r="Y11" s="14"/>
      <c r="Z11" s="14"/>
      <c r="AA11" s="14"/>
      <c r="AB11" s="14"/>
      <c r="AC11" s="14"/>
      <c r="AD11" s="16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ht="15.75" thickBot="1" x14ac:dyDescent="0.3">
      <c r="A12" s="25" t="s">
        <v>29</v>
      </c>
      <c r="B12" s="191" t="str" cm="1">
        <f t="array" ref="B12">_xlfn.IFS(G5="VMC","N/A",G5="HBMX","",G5="Lathe","N/A",G5="VMC / Rotary A","N/A",G5="","")</f>
        <v>N/A</v>
      </c>
      <c r="C12" s="192"/>
      <c r="D12" s="193"/>
      <c r="E12" s="186"/>
      <c r="F12" s="190"/>
      <c r="G12" s="190"/>
      <c r="H12" s="155"/>
      <c r="I12" s="186"/>
      <c r="J12" s="187"/>
      <c r="K12" s="154"/>
      <c r="L12" s="155"/>
      <c r="M12" s="181"/>
      <c r="N12" s="182"/>
      <c r="O12" s="182"/>
      <c r="P12" s="182"/>
      <c r="Q12" s="182"/>
      <c r="R12" s="182"/>
      <c r="S12" s="182"/>
      <c r="T12" s="182"/>
      <c r="U12" s="182"/>
      <c r="V12" s="182"/>
      <c r="W12" s="183"/>
      <c r="X12" s="15"/>
      <c r="Y12" s="14"/>
      <c r="Z12" s="14"/>
      <c r="AA12" s="14"/>
      <c r="AB12" s="14"/>
      <c r="AC12" s="14"/>
      <c r="AD12" s="16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ht="15.75" thickBot="1" x14ac:dyDescent="0.3">
      <c r="A13" s="7" t="s">
        <v>30</v>
      </c>
      <c r="B13" s="194" t="s">
        <v>84</v>
      </c>
      <c r="C13" s="195"/>
      <c r="D13" s="204"/>
      <c r="E13" s="202" t="s">
        <v>31</v>
      </c>
      <c r="F13" s="203"/>
      <c r="G13" s="194" t="s">
        <v>248</v>
      </c>
      <c r="H13" s="195"/>
      <c r="I13" s="195"/>
      <c r="J13" s="195"/>
      <c r="K13" s="195"/>
      <c r="L13" s="195"/>
      <c r="M13" s="181"/>
      <c r="N13" s="182"/>
      <c r="O13" s="182"/>
      <c r="P13" s="182"/>
      <c r="Q13" s="182"/>
      <c r="R13" s="182"/>
      <c r="S13" s="182"/>
      <c r="T13" s="182"/>
      <c r="U13" s="182"/>
      <c r="V13" s="182"/>
      <c r="W13" s="183"/>
      <c r="X13" s="15"/>
      <c r="Y13" s="14"/>
      <c r="Z13" s="14"/>
      <c r="AA13" s="14"/>
      <c r="AB13" s="14"/>
      <c r="AC13" s="14"/>
      <c r="AD13" s="16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ht="15.75" thickBot="1" x14ac:dyDescent="0.3">
      <c r="A14" s="165" t="s">
        <v>32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5"/>
      <c r="M14" s="181"/>
      <c r="N14" s="182"/>
      <c r="O14" s="182"/>
      <c r="P14" s="182"/>
      <c r="Q14" s="182"/>
      <c r="R14" s="182"/>
      <c r="S14" s="182"/>
      <c r="T14" s="182"/>
      <c r="U14" s="182"/>
      <c r="V14" s="182"/>
      <c r="W14" s="183"/>
      <c r="X14" s="15"/>
      <c r="Y14" s="14"/>
      <c r="Z14" s="14"/>
      <c r="AA14" s="14"/>
      <c r="AB14" s="14"/>
      <c r="AC14" s="14"/>
      <c r="AD14" s="16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ht="15.75" thickBot="1" x14ac:dyDescent="0.3">
      <c r="A15" s="140" t="s">
        <v>17</v>
      </c>
      <c r="B15" s="141"/>
      <c r="C15" s="150" t="s">
        <v>33</v>
      </c>
      <c r="D15" s="150"/>
      <c r="E15" s="150"/>
      <c r="F15" s="150"/>
      <c r="G15" s="150"/>
      <c r="H15" s="150"/>
      <c r="I15" s="141"/>
      <c r="J15" s="104" t="s">
        <v>34</v>
      </c>
      <c r="K15" s="106"/>
      <c r="L15" s="22" t="s">
        <v>35</v>
      </c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3"/>
      <c r="X15" s="15"/>
      <c r="Y15" s="14"/>
      <c r="Z15" s="14"/>
      <c r="AA15" s="14"/>
      <c r="AB15" s="14"/>
      <c r="AC15" s="14"/>
      <c r="AD15" s="16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2"/>
      <c r="B16" s="143"/>
      <c r="C16" s="151"/>
      <c r="D16" s="151"/>
      <c r="E16" s="151"/>
      <c r="F16" s="151"/>
      <c r="G16" s="151"/>
      <c r="H16" s="151"/>
      <c r="I16" s="143"/>
      <c r="J16" s="107"/>
      <c r="K16" s="109"/>
      <c r="L16" s="6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3"/>
      <c r="X16" s="15"/>
      <c r="Y16" s="14"/>
      <c r="Z16" s="14"/>
      <c r="AA16" s="14"/>
      <c r="AB16" s="14"/>
      <c r="AC16" s="14"/>
      <c r="AD16" s="16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4"/>
      <c r="B17" s="145"/>
      <c r="C17" s="152"/>
      <c r="D17" s="152"/>
      <c r="E17" s="152"/>
      <c r="F17" s="152"/>
      <c r="G17" s="152"/>
      <c r="H17" s="152"/>
      <c r="I17" s="145"/>
      <c r="J17" s="110"/>
      <c r="K17" s="112"/>
      <c r="L17" s="4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3"/>
      <c r="X17" s="15"/>
      <c r="Y17" s="14"/>
      <c r="Z17" s="14"/>
      <c r="AA17" s="14"/>
      <c r="AB17" s="14"/>
      <c r="AC17" s="14"/>
      <c r="AD17" s="16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146"/>
      <c r="B18" s="147"/>
      <c r="C18" s="153"/>
      <c r="D18" s="153"/>
      <c r="E18" s="153"/>
      <c r="F18" s="153"/>
      <c r="G18" s="153"/>
      <c r="H18" s="153"/>
      <c r="I18" s="147"/>
      <c r="J18" s="113"/>
      <c r="K18" s="115"/>
      <c r="L18" s="5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3"/>
      <c r="X18" s="15"/>
      <c r="Y18" s="14"/>
      <c r="Z18" s="14"/>
      <c r="AA18" s="14"/>
      <c r="AB18" s="14"/>
      <c r="AC18" s="14"/>
      <c r="AD18" s="16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144"/>
      <c r="B19" s="145"/>
      <c r="C19" s="152"/>
      <c r="D19" s="152"/>
      <c r="E19" s="152"/>
      <c r="F19" s="152"/>
      <c r="G19" s="152"/>
      <c r="H19" s="152"/>
      <c r="I19" s="145"/>
      <c r="J19" s="110"/>
      <c r="K19" s="112"/>
      <c r="L19" s="4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3"/>
      <c r="X19" s="15"/>
      <c r="Y19" s="14"/>
      <c r="Z19" s="14"/>
      <c r="AA19" s="14"/>
      <c r="AB19" s="14"/>
      <c r="AC19" s="14"/>
      <c r="AD19" s="16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ht="15.75" thickBot="1" x14ac:dyDescent="0.3">
      <c r="A20" s="146"/>
      <c r="B20" s="147"/>
      <c r="C20" s="153"/>
      <c r="D20" s="153"/>
      <c r="E20" s="153"/>
      <c r="F20" s="153"/>
      <c r="G20" s="153"/>
      <c r="H20" s="153"/>
      <c r="I20" s="147"/>
      <c r="J20" s="113"/>
      <c r="K20" s="115"/>
      <c r="L20" s="5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3"/>
      <c r="X20" s="15"/>
      <c r="Y20" s="14"/>
      <c r="Z20" s="14"/>
      <c r="AA20" s="14"/>
      <c r="AB20" s="14"/>
      <c r="AC20" s="14"/>
      <c r="AD20" s="16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5.75" thickBot="1" x14ac:dyDescent="0.3">
      <c r="A21" s="162" t="s">
        <v>36</v>
      </c>
      <c r="B21" s="196"/>
      <c r="C21" s="196"/>
      <c r="D21" s="196"/>
      <c r="E21" s="196"/>
      <c r="F21" s="196"/>
      <c r="G21" s="163"/>
      <c r="H21" s="163"/>
      <c r="I21" s="163"/>
      <c r="J21" s="197"/>
      <c r="K21" s="49"/>
      <c r="L21" s="50"/>
      <c r="M21" s="181"/>
      <c r="N21" s="182"/>
      <c r="O21" s="182"/>
      <c r="P21" s="182"/>
      <c r="Q21" s="182"/>
      <c r="R21" s="182"/>
      <c r="S21" s="182"/>
      <c r="T21" s="182"/>
      <c r="U21" s="182"/>
      <c r="V21" s="182"/>
      <c r="W21" s="183"/>
      <c r="X21" s="15"/>
      <c r="Y21" s="14"/>
      <c r="Z21" s="14"/>
      <c r="AA21" s="14"/>
      <c r="AB21" s="14"/>
      <c r="AC21" s="14"/>
      <c r="AD21" s="16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ht="15.75" thickBot="1" x14ac:dyDescent="0.3">
      <c r="A22" s="40" t="s">
        <v>37</v>
      </c>
      <c r="B22" s="104" t="s">
        <v>17</v>
      </c>
      <c r="C22" s="105"/>
      <c r="D22" s="105"/>
      <c r="E22" s="105"/>
      <c r="F22" s="106"/>
      <c r="G22" s="43" t="s">
        <v>38</v>
      </c>
      <c r="H22" s="140" t="s">
        <v>39</v>
      </c>
      <c r="I22" s="141"/>
      <c r="J22" s="140" t="s">
        <v>34</v>
      </c>
      <c r="K22" s="141"/>
      <c r="L22" s="41" t="s">
        <v>35</v>
      </c>
      <c r="M22" s="181"/>
      <c r="N22" s="182"/>
      <c r="O22" s="182"/>
      <c r="P22" s="182"/>
      <c r="Q22" s="182"/>
      <c r="R22" s="182"/>
      <c r="S22" s="182"/>
      <c r="T22" s="182"/>
      <c r="U22" s="182"/>
      <c r="V22" s="182"/>
      <c r="W22" s="183"/>
      <c r="X22" s="15"/>
      <c r="Y22" s="14"/>
      <c r="Z22" s="14"/>
      <c r="AA22" s="14"/>
      <c r="AB22" s="14"/>
      <c r="AC22" s="14"/>
      <c r="AD22" s="16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26">
        <v>1</v>
      </c>
      <c r="B23" s="107"/>
      <c r="C23" s="108"/>
      <c r="D23" s="108"/>
      <c r="E23" s="108"/>
      <c r="F23" s="109"/>
      <c r="G23" s="34"/>
      <c r="H23" s="142"/>
      <c r="I23" s="143"/>
      <c r="J23" s="142"/>
      <c r="K23" s="143"/>
      <c r="L23" s="51"/>
      <c r="M23" s="181"/>
      <c r="N23" s="182"/>
      <c r="O23" s="182"/>
      <c r="P23" s="182"/>
      <c r="Q23" s="182"/>
      <c r="R23" s="182"/>
      <c r="S23" s="182"/>
      <c r="T23" s="182"/>
      <c r="U23" s="182"/>
      <c r="V23" s="182"/>
      <c r="W23" s="183"/>
      <c r="X23" s="15"/>
      <c r="Y23" s="14"/>
      <c r="Z23" s="14"/>
      <c r="AA23" s="14"/>
      <c r="AB23" s="14"/>
      <c r="AC23" s="14"/>
      <c r="AD23" s="16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27">
        <v>2</v>
      </c>
      <c r="B24" s="110"/>
      <c r="C24" s="111"/>
      <c r="D24" s="111"/>
      <c r="E24" s="111"/>
      <c r="F24" s="112"/>
      <c r="G24" s="44"/>
      <c r="H24" s="144"/>
      <c r="I24" s="145"/>
      <c r="J24" s="144"/>
      <c r="K24" s="145"/>
      <c r="L24" s="42"/>
      <c r="M24" s="181"/>
      <c r="N24" s="182"/>
      <c r="O24" s="182"/>
      <c r="P24" s="182"/>
      <c r="Q24" s="182"/>
      <c r="R24" s="182"/>
      <c r="S24" s="182"/>
      <c r="T24" s="182"/>
      <c r="U24" s="182"/>
      <c r="V24" s="182"/>
      <c r="W24" s="183"/>
      <c r="X24" s="15"/>
      <c r="Y24" s="14"/>
      <c r="Z24" s="14"/>
      <c r="AA24" s="14"/>
      <c r="AB24" s="14"/>
      <c r="AC24" s="14"/>
      <c r="AD24" s="16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28">
        <v>3</v>
      </c>
      <c r="B25" s="113"/>
      <c r="C25" s="114"/>
      <c r="D25" s="114"/>
      <c r="E25" s="114"/>
      <c r="F25" s="115"/>
      <c r="G25" s="38"/>
      <c r="H25" s="146"/>
      <c r="I25" s="147"/>
      <c r="J25" s="146"/>
      <c r="K25" s="147"/>
      <c r="L25" s="39"/>
      <c r="M25" s="181"/>
      <c r="N25" s="182"/>
      <c r="O25" s="182"/>
      <c r="P25" s="182"/>
      <c r="Q25" s="182"/>
      <c r="R25" s="182"/>
      <c r="S25" s="182"/>
      <c r="T25" s="182"/>
      <c r="U25" s="182"/>
      <c r="V25" s="182"/>
      <c r="W25" s="183"/>
      <c r="X25" s="15"/>
      <c r="Y25" s="14"/>
      <c r="Z25" s="14"/>
      <c r="AA25" s="14"/>
      <c r="AB25" s="14"/>
      <c r="AC25" s="14"/>
      <c r="AD25" s="16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ht="15" customHeight="1" x14ac:dyDescent="0.25">
      <c r="A26" s="27">
        <v>4</v>
      </c>
      <c r="B26" s="110"/>
      <c r="C26" s="111"/>
      <c r="D26" s="111"/>
      <c r="E26" s="111"/>
      <c r="F26" s="112"/>
      <c r="G26" s="44"/>
      <c r="H26" s="144"/>
      <c r="I26" s="145"/>
      <c r="J26" s="144"/>
      <c r="K26" s="145"/>
      <c r="L26" s="42"/>
      <c r="M26" s="166" t="s">
        <v>40</v>
      </c>
      <c r="N26" s="167"/>
      <c r="O26" s="167"/>
      <c r="P26" s="167"/>
      <c r="Q26" s="167"/>
      <c r="R26" s="167"/>
      <c r="S26" s="167"/>
      <c r="T26" s="167"/>
      <c r="U26" s="167"/>
      <c r="V26" s="167"/>
      <c r="W26" s="168"/>
      <c r="X26" s="15"/>
      <c r="Y26" s="14"/>
      <c r="Z26" s="14"/>
      <c r="AA26" s="14"/>
      <c r="AB26" s="14"/>
      <c r="AC26" s="14"/>
      <c r="AD26" s="16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ht="15.75" customHeight="1" thickBot="1" x14ac:dyDescent="0.3">
      <c r="A27" s="29">
        <v>5</v>
      </c>
      <c r="B27" s="116"/>
      <c r="C27" s="117"/>
      <c r="D27" s="117"/>
      <c r="E27" s="117"/>
      <c r="F27" s="118"/>
      <c r="G27" s="46"/>
      <c r="H27" s="186"/>
      <c r="I27" s="155"/>
      <c r="J27" s="186"/>
      <c r="K27" s="155"/>
      <c r="L27" s="45"/>
      <c r="M27" s="169"/>
      <c r="N27" s="170"/>
      <c r="O27" s="170"/>
      <c r="P27" s="170"/>
      <c r="Q27" s="170"/>
      <c r="R27" s="170"/>
      <c r="S27" s="170"/>
      <c r="T27" s="170"/>
      <c r="U27" s="170"/>
      <c r="V27" s="170"/>
      <c r="W27" s="171"/>
      <c r="X27" s="15"/>
      <c r="Y27" s="14"/>
      <c r="Z27" s="14"/>
      <c r="AA27" s="14"/>
      <c r="AB27" s="14"/>
      <c r="AC27" s="14"/>
      <c r="AD27" s="16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ht="15.75" thickBot="1" x14ac:dyDescent="0.3">
      <c r="A28" s="165" t="s">
        <v>41</v>
      </c>
      <c r="B28" s="198"/>
      <c r="C28" s="198"/>
      <c r="D28" s="198"/>
      <c r="E28" s="198"/>
      <c r="F28" s="198"/>
      <c r="G28" s="134"/>
      <c r="H28" s="134"/>
      <c r="I28" s="134"/>
      <c r="J28" s="134"/>
      <c r="K28" s="134"/>
      <c r="L28" s="134"/>
      <c r="M28" s="134"/>
      <c r="N28" s="134"/>
      <c r="O28" s="134"/>
      <c r="P28" s="133" t="s">
        <v>42</v>
      </c>
      <c r="Q28" s="134"/>
      <c r="R28" s="134"/>
      <c r="S28" s="134"/>
      <c r="T28" s="134"/>
      <c r="U28" s="134"/>
      <c r="V28" s="134"/>
      <c r="W28" s="135"/>
      <c r="X28" s="15"/>
      <c r="Y28" s="14"/>
      <c r="Z28" s="14"/>
      <c r="AA28" s="14"/>
      <c r="AB28" s="14"/>
      <c r="AC28" s="14"/>
      <c r="AD28" s="16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6" t="s">
        <v>38</v>
      </c>
      <c r="B29" s="178" t="s">
        <v>43</v>
      </c>
      <c r="C29" s="179"/>
      <c r="D29" s="179"/>
      <c r="E29" s="179"/>
      <c r="F29" s="180"/>
      <c r="G29" s="35" t="s">
        <v>44</v>
      </c>
      <c r="H29" s="36" t="s">
        <v>45</v>
      </c>
      <c r="I29" s="125" t="s">
        <v>46</v>
      </c>
      <c r="J29" s="126"/>
      <c r="K29" s="125" t="s">
        <v>47</v>
      </c>
      <c r="L29" s="126"/>
      <c r="M29" s="125" t="s">
        <v>48</v>
      </c>
      <c r="N29" s="126"/>
      <c r="O29" s="10" t="s">
        <v>49</v>
      </c>
      <c r="P29" s="136" t="s">
        <v>50</v>
      </c>
      <c r="Q29" s="137"/>
      <c r="R29" s="137"/>
      <c r="S29" s="126"/>
      <c r="T29" s="36" t="s">
        <v>51</v>
      </c>
      <c r="U29" s="36" t="s">
        <v>52</v>
      </c>
      <c r="V29" s="36" t="s">
        <v>35</v>
      </c>
      <c r="W29" s="35" t="s">
        <v>24</v>
      </c>
      <c r="X29" s="15"/>
      <c r="Y29" s="14"/>
      <c r="Z29" s="14"/>
      <c r="AA29" s="14"/>
      <c r="AB29" s="14"/>
      <c r="AC29" s="14"/>
      <c r="AD29" s="16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3">
        <v>17</v>
      </c>
      <c r="B30" s="199" t="str">
        <f>_xlfn.IFNA(VLOOKUP(A30,'Construction Sheet'!$A$3:$D$50,2,FALSE), "")</f>
        <v>ø1" Millstar / OSG Bullmill</v>
      </c>
      <c r="C30" s="200"/>
      <c r="D30" s="200"/>
      <c r="E30" s="200"/>
      <c r="F30" s="201"/>
      <c r="G30" s="33" t="s">
        <v>194</v>
      </c>
      <c r="H30" s="33" t="s">
        <v>140</v>
      </c>
      <c r="I30" s="127" t="str">
        <f>IF($B30="","",IF(10&lt;$A30,IF($A30&lt;18,".002","N/A"),"N/A"))</f>
        <v>.002</v>
      </c>
      <c r="J30" s="121"/>
      <c r="K30" s="127" t="str">
        <f>IF($B30="","",IF($A30&gt;=1,IF($A30&lt;=33,VLOOKUP('Primary Operation 6'!$A30,'Construction Sheet'!$A$2:$F$35,5),""),""))</f>
        <v>Collet / Shrinkfit</v>
      </c>
      <c r="L30" s="121"/>
      <c r="M30" s="127" t="str">
        <f>IF($B30="","",IF($A30&gt;=1,IF($A30&lt;=33,VLOOKUP('Primary Operation 6'!$A30,'Construction Sheet'!$A$2:$F$35,6),""),""))</f>
        <v>Flood Coolant</v>
      </c>
      <c r="N30" s="121"/>
      <c r="O30" s="32" t="s">
        <v>264</v>
      </c>
      <c r="P30" s="119"/>
      <c r="Q30" s="120"/>
      <c r="R30" s="120"/>
      <c r="S30" s="121"/>
      <c r="T30" s="33"/>
      <c r="U30" s="33"/>
      <c r="V30" s="33"/>
      <c r="W30" s="33"/>
      <c r="X30" s="15"/>
      <c r="Y30" s="14"/>
      <c r="Z30" s="14"/>
      <c r="AA30" s="14"/>
      <c r="AB30" s="14"/>
      <c r="AC30" s="14"/>
      <c r="AD30" s="16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ht="15" customHeight="1" x14ac:dyDescent="0.25">
      <c r="A31" s="31">
        <v>71</v>
      </c>
      <c r="B31" s="205" t="s">
        <v>261</v>
      </c>
      <c r="C31" s="206"/>
      <c r="D31" s="206"/>
      <c r="E31" s="206"/>
      <c r="F31" s="207"/>
      <c r="G31" s="31" t="s">
        <v>259</v>
      </c>
      <c r="H31" s="31" t="s">
        <v>262</v>
      </c>
      <c r="I31" s="128" t="s">
        <v>130</v>
      </c>
      <c r="J31" s="124"/>
      <c r="K31" s="128" t="s">
        <v>173</v>
      </c>
      <c r="L31" s="124"/>
      <c r="M31" s="128" t="s">
        <v>128</v>
      </c>
      <c r="N31" s="124"/>
      <c r="O31" s="30" t="s">
        <v>224</v>
      </c>
      <c r="P31" s="122"/>
      <c r="Q31" s="123"/>
      <c r="R31" s="123"/>
      <c r="S31" s="124"/>
      <c r="T31" s="31"/>
      <c r="U31" s="31"/>
      <c r="V31" s="31"/>
      <c r="W31" s="31"/>
      <c r="X31" s="15"/>
      <c r="Y31" s="14"/>
      <c r="Z31" s="14"/>
      <c r="AA31" s="14"/>
      <c r="AB31" s="14"/>
      <c r="AC31" s="14"/>
      <c r="AD31" s="16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3">
        <v>19</v>
      </c>
      <c r="B32" s="199" t="str">
        <f>_xlfn.IFNA(VLOOKUP(A32,'Construction Sheet'!$A$3:$D$50,2,FALSE), "")</f>
        <v>ø.315 Mitubishi Chamfer Mill</v>
      </c>
      <c r="C32" s="200"/>
      <c r="D32" s="200"/>
      <c r="E32" s="200"/>
      <c r="F32" s="201"/>
      <c r="G32" s="33" t="str">
        <f>_xlfn.IFNA(VLOOKUP(A32,'Construction Sheet'!$A$3:$D$50,3,FALSE),"")</f>
        <v>N/A</v>
      </c>
      <c r="H32" s="33" t="s">
        <v>214</v>
      </c>
      <c r="I32" s="127" t="str">
        <f t="shared" ref="I32:I44" si="0">IF($B32="","",IF(10&lt;$A32,IF($A32&lt;18,".002","N/A"),"N/A"))</f>
        <v>N/A</v>
      </c>
      <c r="J32" s="121"/>
      <c r="K32" s="127" t="str">
        <f>IF($B32="","",IF($A32&gt;=1,IF($A32&lt;=33,VLOOKUP('Primary Operation 6'!$A32,'Construction Sheet'!$A$2:$F$35,5),""),""))</f>
        <v>Weldon / Collet</v>
      </c>
      <c r="L32" s="121"/>
      <c r="M32" s="127" t="str">
        <f>IF($B32="","",IF($A32&gt;=1,IF($A32&lt;=33,VLOOKUP('Primary Operation 6'!$A32,'Construction Sheet'!$A$2:$F$35,6),""),""))</f>
        <v>Air Blast</v>
      </c>
      <c r="N32" s="121"/>
      <c r="O32" s="32" t="s">
        <v>208</v>
      </c>
      <c r="P32" s="119"/>
      <c r="Q32" s="120"/>
      <c r="R32" s="120"/>
      <c r="S32" s="121"/>
      <c r="T32" s="33"/>
      <c r="U32" s="33"/>
      <c r="V32" s="33"/>
      <c r="W32" s="33"/>
      <c r="X32" s="15"/>
      <c r="Y32" s="14"/>
      <c r="Z32" s="14"/>
      <c r="AA32" s="14"/>
      <c r="AB32" s="14"/>
      <c r="AC32" s="14"/>
      <c r="AD32" s="16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/>
      <c r="B33" s="205" t="str">
        <f>_xlfn.IFNA(VLOOKUP(A33,'Construction Sheet'!$A$3:$D$50,2,FALSE), "")</f>
        <v/>
      </c>
      <c r="C33" s="206"/>
      <c r="D33" s="206"/>
      <c r="E33" s="206"/>
      <c r="F33" s="207"/>
      <c r="G33" s="31" t="str">
        <f>_xlfn.IFNA(VLOOKUP(A33,'Construction Sheet'!$A$3:$D$50,3,FALSE),"")</f>
        <v/>
      </c>
      <c r="H33" s="31"/>
      <c r="I33" s="128" t="str">
        <f t="shared" si="0"/>
        <v/>
      </c>
      <c r="J33" s="124"/>
      <c r="K33" s="128" t="str">
        <f>IF($B33="","",IF($A33&gt;=1,IF($A33&lt;=33,VLOOKUP('Primary Operation 6'!$A33,'Construction Sheet'!$A$2:$F$35,5),""),""))</f>
        <v/>
      </c>
      <c r="L33" s="124"/>
      <c r="M33" s="128" t="str">
        <f>IF($B33="","",IF($A33&gt;=1,IF($A33&lt;=33,VLOOKUP('Primary Operation 6'!$A33,'Construction Sheet'!$A$2:$F$35,6),""),""))</f>
        <v/>
      </c>
      <c r="N33" s="124"/>
      <c r="O33" s="30"/>
      <c r="P33" s="122"/>
      <c r="Q33" s="123"/>
      <c r="R33" s="123"/>
      <c r="S33" s="124"/>
      <c r="T33" s="31"/>
      <c r="U33" s="31"/>
      <c r="V33" s="31"/>
      <c r="W33" s="31"/>
      <c r="X33" s="15"/>
      <c r="Y33" s="14"/>
      <c r="Z33" s="14"/>
      <c r="AA33" s="14"/>
      <c r="AB33" s="14"/>
      <c r="AC33" s="14"/>
      <c r="AD33" s="16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3"/>
      <c r="B34" s="199" t="str">
        <f>_xlfn.IFNA(VLOOKUP(A34,'Construction Sheet'!$A$3:$D$50,2,FALSE), "")</f>
        <v/>
      </c>
      <c r="C34" s="200"/>
      <c r="D34" s="200"/>
      <c r="E34" s="200"/>
      <c r="F34" s="201"/>
      <c r="G34" s="33" t="str">
        <f>_xlfn.IFNA(VLOOKUP(A34,'Construction Sheet'!$A$3:$D$50,3,FALSE),"")</f>
        <v/>
      </c>
      <c r="H34" s="33"/>
      <c r="I34" s="127" t="str">
        <f t="shared" si="0"/>
        <v/>
      </c>
      <c r="J34" s="121"/>
      <c r="K34" s="127" t="str">
        <f>IF($B34="","",IF($A34&gt;=1,IF($A34&lt;=33,VLOOKUP('Primary Operation 6'!$A34,'Construction Sheet'!$A$2:$F$35,5),""),""))</f>
        <v/>
      </c>
      <c r="L34" s="121"/>
      <c r="M34" s="127" t="str">
        <f>IF($B34="","",IF($A34&gt;=1,IF($A34&lt;=33,VLOOKUP('Primary Operation 6'!$A34,'Construction Sheet'!$A$2:$F$35,6),""),""))</f>
        <v/>
      </c>
      <c r="N34" s="121"/>
      <c r="O34" s="32"/>
      <c r="P34" s="119"/>
      <c r="Q34" s="120"/>
      <c r="R34" s="120"/>
      <c r="S34" s="121"/>
      <c r="T34" s="33"/>
      <c r="U34" s="33"/>
      <c r="V34" s="33"/>
      <c r="W34" s="33"/>
      <c r="X34" s="15"/>
      <c r="Y34" s="14"/>
      <c r="Z34" s="14"/>
      <c r="AA34" s="14"/>
      <c r="AB34" s="14"/>
      <c r="AC34" s="14"/>
      <c r="AD34" s="16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05" t="str">
        <f>_xlfn.IFNA(VLOOKUP(A35,'Construction Sheet'!$A$3:$D$50,2,FALSE), "")</f>
        <v/>
      </c>
      <c r="C35" s="206"/>
      <c r="D35" s="206"/>
      <c r="E35" s="206"/>
      <c r="F35" s="207"/>
      <c r="G35" s="31" t="str">
        <f>_xlfn.IFNA(VLOOKUP(A35,'Construction Sheet'!$A$3:$D$50,3,FALSE),"")</f>
        <v/>
      </c>
      <c r="H35" s="31"/>
      <c r="I35" s="128" t="str">
        <f t="shared" si="0"/>
        <v/>
      </c>
      <c r="J35" s="124"/>
      <c r="K35" s="128" t="str">
        <f>IF($B35="","",IF($A35&gt;=1,IF($A35&lt;=33,VLOOKUP('Primary Operation 6'!$A35,'Construction Sheet'!$A$2:$F$35,5),""),""))</f>
        <v/>
      </c>
      <c r="L35" s="124"/>
      <c r="M35" s="128" t="str">
        <f>IF($B35="","",IF($A35&gt;=1,IF($A35&lt;=33,VLOOKUP('Primary Operation 6'!$A35,'Construction Sheet'!$A$2:$F$35,6),""),""))</f>
        <v/>
      </c>
      <c r="N35" s="124"/>
      <c r="O35" s="30"/>
      <c r="P35" s="122"/>
      <c r="Q35" s="123"/>
      <c r="R35" s="123"/>
      <c r="S35" s="124"/>
      <c r="T35" s="31"/>
      <c r="U35" s="31"/>
      <c r="V35" s="31"/>
      <c r="W35" s="31"/>
      <c r="X35" s="15"/>
      <c r="Y35" s="14"/>
      <c r="Z35" s="14"/>
      <c r="AA35" s="14"/>
      <c r="AB35" s="14"/>
      <c r="AC35" s="14"/>
      <c r="AD35" s="16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3"/>
      <c r="B36" s="199" t="str">
        <f>_xlfn.IFNA(VLOOKUP(A36,'Construction Sheet'!$A$3:$D$50,2,FALSE), "")</f>
        <v/>
      </c>
      <c r="C36" s="200"/>
      <c r="D36" s="200"/>
      <c r="E36" s="200"/>
      <c r="F36" s="201"/>
      <c r="G36" s="33" t="str">
        <f>_xlfn.IFNA(VLOOKUP(A36,'Construction Sheet'!$A$3:$D$50,3,FALSE),"")</f>
        <v/>
      </c>
      <c r="H36" s="33"/>
      <c r="I36" s="127" t="str">
        <f t="shared" si="0"/>
        <v/>
      </c>
      <c r="J36" s="121"/>
      <c r="K36" s="127" t="str">
        <f>IF($B36="","",IF($A36&gt;=1,IF($A36&lt;=33,VLOOKUP('Primary Operation 6'!$A36,'Construction Sheet'!$A$2:$F$35,5),""),""))</f>
        <v/>
      </c>
      <c r="L36" s="121"/>
      <c r="M36" s="127" t="str">
        <f>IF($B36="","",IF($A36&gt;=1,IF($A36&lt;=33,VLOOKUP('Primary Operation 6'!$A36,'Construction Sheet'!$A$2:$F$35,6),""),""))</f>
        <v/>
      </c>
      <c r="N36" s="121"/>
      <c r="O36" s="32"/>
      <c r="P36" s="119"/>
      <c r="Q36" s="120"/>
      <c r="R36" s="120"/>
      <c r="S36" s="121"/>
      <c r="T36" s="33"/>
      <c r="U36" s="33"/>
      <c r="V36" s="33"/>
      <c r="W36" s="33"/>
      <c r="X36" s="15"/>
      <c r="Y36" s="14"/>
      <c r="Z36" s="14"/>
      <c r="AA36" s="14"/>
      <c r="AB36" s="14"/>
      <c r="AC36" s="14"/>
      <c r="AD36" s="16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05" t="str">
        <f>_xlfn.IFNA(VLOOKUP(A37,'Construction Sheet'!$A$3:$D$50,2,FALSE), "")</f>
        <v/>
      </c>
      <c r="C37" s="206"/>
      <c r="D37" s="206"/>
      <c r="E37" s="206"/>
      <c r="F37" s="207"/>
      <c r="G37" s="31" t="str">
        <f>_xlfn.IFNA(VLOOKUP(A37,'Construction Sheet'!$A$3:$D$50,3,FALSE),"")</f>
        <v/>
      </c>
      <c r="H37" s="31"/>
      <c r="I37" s="128" t="str">
        <f t="shared" si="0"/>
        <v/>
      </c>
      <c r="J37" s="124"/>
      <c r="K37" s="128" t="str">
        <f>IF($B37="","",IF($A37&gt;=1,IF($A37&lt;=33,VLOOKUP('Primary Operation 6'!$A37,'Construction Sheet'!$A$2:$F$35,5),""),""))</f>
        <v/>
      </c>
      <c r="L37" s="124"/>
      <c r="M37" s="128" t="str">
        <f>IF($B37="","",IF($A37&gt;=1,IF($A37&lt;=33,VLOOKUP('Primary Operation 6'!$A37,'Construction Sheet'!$A$2:$F$35,6),""),""))</f>
        <v/>
      </c>
      <c r="N37" s="124"/>
      <c r="O37" s="30"/>
      <c r="P37" s="122"/>
      <c r="Q37" s="123"/>
      <c r="R37" s="123"/>
      <c r="S37" s="124"/>
      <c r="T37" s="31"/>
      <c r="U37" s="31"/>
      <c r="V37" s="31"/>
      <c r="W37" s="31"/>
      <c r="X37" s="15"/>
      <c r="Y37" s="14"/>
      <c r="Z37" s="14"/>
      <c r="AA37" s="14"/>
      <c r="AB37" s="14"/>
      <c r="AC37" s="14"/>
      <c r="AD37" s="16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3"/>
      <c r="B38" s="199" t="str">
        <f>_xlfn.IFNA(VLOOKUP(A38,'Construction Sheet'!$A$3:$D$50,2,FALSE), "")</f>
        <v/>
      </c>
      <c r="C38" s="200"/>
      <c r="D38" s="200"/>
      <c r="E38" s="200"/>
      <c r="F38" s="201"/>
      <c r="G38" s="33" t="str">
        <f>_xlfn.IFNA(VLOOKUP(A38,'Construction Sheet'!$A$3:$D$50,3,FALSE),"")</f>
        <v/>
      </c>
      <c r="H38" s="33"/>
      <c r="I38" s="127" t="str">
        <f t="shared" si="0"/>
        <v/>
      </c>
      <c r="J38" s="121"/>
      <c r="K38" s="127" t="str">
        <f>IF($B38="","",IF($A38&gt;=1,IF($A38&lt;=33,VLOOKUP('Primary Operation 6'!$A38,'Construction Sheet'!$A$2:$F$35,5),""),""))</f>
        <v/>
      </c>
      <c r="L38" s="121"/>
      <c r="M38" s="127" t="str">
        <f>IF($B38="","",IF($A38&gt;=1,IF($A38&lt;=33,VLOOKUP('Primary Operation 6'!$A38,'Construction Sheet'!$A$2:$F$35,6),""),""))</f>
        <v/>
      </c>
      <c r="N38" s="121"/>
      <c r="O38" s="32"/>
      <c r="P38" s="119"/>
      <c r="Q38" s="120"/>
      <c r="R38" s="120"/>
      <c r="S38" s="121"/>
      <c r="T38" s="33"/>
      <c r="U38" s="33"/>
      <c r="V38" s="33"/>
      <c r="W38" s="33"/>
      <c r="X38" s="15"/>
      <c r="Y38" s="14"/>
      <c r="Z38" s="14"/>
      <c r="AA38" s="14"/>
      <c r="AB38" s="14"/>
      <c r="AC38" s="14"/>
      <c r="AD38" s="16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05" t="str">
        <f>_xlfn.IFNA(VLOOKUP(A39,'Construction Sheet'!$A$3:$D$50,2,FALSE), "")</f>
        <v/>
      </c>
      <c r="C39" s="206"/>
      <c r="D39" s="206"/>
      <c r="E39" s="206"/>
      <c r="F39" s="207"/>
      <c r="G39" s="31" t="str">
        <f>_xlfn.IFNA(VLOOKUP(A39,'Construction Sheet'!$A$3:$D$50,3,FALSE),"")</f>
        <v/>
      </c>
      <c r="H39" s="31"/>
      <c r="I39" s="128" t="str">
        <f t="shared" si="0"/>
        <v/>
      </c>
      <c r="J39" s="124"/>
      <c r="K39" s="128" t="str">
        <f>IF($B39="","",IF($A39&gt;=1,IF($A39&lt;=33,VLOOKUP('Primary Operation 6'!$A39,'Construction Sheet'!$A$2:$F$35,5),""),""))</f>
        <v/>
      </c>
      <c r="L39" s="124"/>
      <c r="M39" s="128" t="str">
        <f>IF($B39="","",IF($A39&gt;=1,IF($A39&lt;=33,VLOOKUP('Primary Operation 6'!$A39,'Construction Sheet'!$A$2:$F$35,6),""),""))</f>
        <v/>
      </c>
      <c r="N39" s="124"/>
      <c r="O39" s="30"/>
      <c r="P39" s="122"/>
      <c r="Q39" s="123"/>
      <c r="R39" s="123"/>
      <c r="S39" s="124"/>
      <c r="T39" s="31"/>
      <c r="U39" s="31"/>
      <c r="V39" s="31"/>
      <c r="W39" s="31"/>
      <c r="X39" s="15"/>
      <c r="Y39" s="14"/>
      <c r="Z39" s="14"/>
      <c r="AA39" s="14"/>
      <c r="AB39" s="14"/>
      <c r="AC39" s="14"/>
      <c r="AD39" s="16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3"/>
      <c r="B40" s="199" t="str">
        <f>_xlfn.IFNA(VLOOKUP(A40,'Construction Sheet'!$A$3:$D$50,2,FALSE), "")</f>
        <v/>
      </c>
      <c r="C40" s="200"/>
      <c r="D40" s="200"/>
      <c r="E40" s="200"/>
      <c r="F40" s="201"/>
      <c r="G40" s="33" t="str">
        <f>_xlfn.IFNA(VLOOKUP(A40,'Construction Sheet'!$A$3:$D$50,3,FALSE),"")</f>
        <v/>
      </c>
      <c r="H40" s="33"/>
      <c r="I40" s="127" t="str">
        <f t="shared" si="0"/>
        <v/>
      </c>
      <c r="J40" s="121"/>
      <c r="K40" s="127" t="str">
        <f>IF($B40="","",IF($A40&gt;=1,IF($A40&lt;=33,VLOOKUP('Primary Operation 6'!$A40,'Construction Sheet'!$A$2:$F$35,5),""),""))</f>
        <v/>
      </c>
      <c r="L40" s="121"/>
      <c r="M40" s="127" t="str">
        <f>IF($B40="","",IF($A40&gt;=1,IF($A40&lt;=33,VLOOKUP('Primary Operation 6'!$A40,'Construction Sheet'!$A$2:$F$35,6),""),""))</f>
        <v/>
      </c>
      <c r="N40" s="121"/>
      <c r="O40" s="32"/>
      <c r="P40" s="119"/>
      <c r="Q40" s="120"/>
      <c r="R40" s="120"/>
      <c r="S40" s="121"/>
      <c r="T40" s="33"/>
      <c r="U40" s="33"/>
      <c r="V40" s="33"/>
      <c r="W40" s="33"/>
      <c r="X40" s="15"/>
      <c r="Y40" s="14"/>
      <c r="Z40" s="14"/>
      <c r="AA40" s="14"/>
      <c r="AB40" s="14"/>
      <c r="AC40" s="14"/>
      <c r="AD40" s="16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31"/>
      <c r="B41" s="205" t="str">
        <f>_xlfn.IFNA(VLOOKUP(A41,'Construction Sheet'!$A$3:$D$50,2,FALSE), "")</f>
        <v/>
      </c>
      <c r="C41" s="206"/>
      <c r="D41" s="206"/>
      <c r="E41" s="206"/>
      <c r="F41" s="207"/>
      <c r="G41" s="31" t="str">
        <f>_xlfn.IFNA(VLOOKUP(A41,'Construction Sheet'!$A$3:$D$50,3,FALSE),"")</f>
        <v/>
      </c>
      <c r="H41" s="31"/>
      <c r="I41" s="128" t="str">
        <f t="shared" si="0"/>
        <v/>
      </c>
      <c r="J41" s="124"/>
      <c r="K41" s="128" t="str">
        <f>IF($B41="","",IF($A41&gt;=1,IF($A41&lt;=33,VLOOKUP('Primary Operation 6'!$A41,'Construction Sheet'!$A$2:$F$35,5),""),""))</f>
        <v/>
      </c>
      <c r="L41" s="124"/>
      <c r="M41" s="128" t="str">
        <f>IF($B41="","",IF($A41&gt;=1,IF($A41&lt;=33,VLOOKUP('Primary Operation 6'!$A41,'Construction Sheet'!$A$2:$F$35,6),""),""))</f>
        <v/>
      </c>
      <c r="N41" s="124"/>
      <c r="O41" s="30"/>
      <c r="P41" s="122"/>
      <c r="Q41" s="123"/>
      <c r="R41" s="123"/>
      <c r="S41" s="124"/>
      <c r="T41" s="31"/>
      <c r="U41" s="31"/>
      <c r="V41" s="31"/>
      <c r="W41" s="31"/>
      <c r="X41" s="15"/>
      <c r="Y41" s="14"/>
      <c r="Z41" s="14"/>
      <c r="AA41" s="14"/>
      <c r="AB41" s="14"/>
      <c r="AC41" s="14"/>
      <c r="AD41" s="16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3"/>
      <c r="B42" s="199" t="str">
        <f>_xlfn.IFNA(VLOOKUP(A42,'Construction Sheet'!$A$3:$D$50,2,FALSE), "")</f>
        <v/>
      </c>
      <c r="C42" s="200"/>
      <c r="D42" s="200"/>
      <c r="E42" s="200"/>
      <c r="F42" s="201"/>
      <c r="G42" s="33" t="str">
        <f>_xlfn.IFNA(VLOOKUP(A42,'Construction Sheet'!$A$3:$D$50,3,FALSE),"")</f>
        <v/>
      </c>
      <c r="H42" s="33"/>
      <c r="I42" s="127" t="str">
        <f t="shared" si="0"/>
        <v/>
      </c>
      <c r="J42" s="121"/>
      <c r="K42" s="127" t="str">
        <f>IF($B42="","",IF($A42&gt;=1,IF($A42&lt;=33,VLOOKUP('Primary Operation 6'!$A42,'Construction Sheet'!$A$2:$F$35,5),""),""))</f>
        <v/>
      </c>
      <c r="L42" s="121"/>
      <c r="M42" s="127" t="str">
        <f>IF($B42="","",IF($A42&gt;=1,IF($A42&lt;=33,VLOOKUP('Primary Operation 6'!$A42,'Construction Sheet'!$A$2:$F$35,6),""),""))</f>
        <v/>
      </c>
      <c r="N42" s="121"/>
      <c r="O42" s="32"/>
      <c r="P42" s="119"/>
      <c r="Q42" s="120"/>
      <c r="R42" s="120"/>
      <c r="S42" s="121"/>
      <c r="T42" s="33"/>
      <c r="U42" s="33"/>
      <c r="V42" s="33"/>
      <c r="W42" s="33"/>
      <c r="X42" s="15"/>
      <c r="Y42" s="14"/>
      <c r="Z42" s="14"/>
      <c r="AA42" s="14"/>
      <c r="AB42" s="14"/>
      <c r="AC42" s="14"/>
      <c r="AD42" s="16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31"/>
      <c r="B43" s="205" t="str">
        <f>_xlfn.IFNA(VLOOKUP(A43,'Construction Sheet'!$A$3:$D$50,2,FALSE), "")</f>
        <v/>
      </c>
      <c r="C43" s="206"/>
      <c r="D43" s="206"/>
      <c r="E43" s="206"/>
      <c r="F43" s="207"/>
      <c r="G43" s="31" t="str">
        <f>_xlfn.IFNA(VLOOKUP(A43,'Construction Sheet'!$A$3:$D$50,3,FALSE),"")</f>
        <v/>
      </c>
      <c r="H43" s="31"/>
      <c r="I43" s="128" t="str">
        <f t="shared" si="0"/>
        <v/>
      </c>
      <c r="J43" s="124"/>
      <c r="K43" s="128" t="str">
        <f>IF($B43="","",IF($A43&gt;=1,IF($A43&lt;=33,VLOOKUP('Primary Operation 6'!$A43,'Construction Sheet'!$A$2:$F$35,5),""),""))</f>
        <v/>
      </c>
      <c r="L43" s="124"/>
      <c r="M43" s="128" t="str">
        <f>IF($B43="","",IF($A43&gt;=1,IF($A43&lt;=33,VLOOKUP('Primary Operation 6'!$A43,'Construction Sheet'!$A$2:$F$35,6),""),""))</f>
        <v/>
      </c>
      <c r="N43" s="124"/>
      <c r="O43" s="30"/>
      <c r="P43" s="122"/>
      <c r="Q43" s="123"/>
      <c r="R43" s="123"/>
      <c r="S43" s="124"/>
      <c r="T43" s="31"/>
      <c r="U43" s="31"/>
      <c r="V43" s="31"/>
      <c r="W43" s="31"/>
      <c r="X43" s="15"/>
      <c r="Y43" s="14"/>
      <c r="Z43" s="14"/>
      <c r="AA43" s="14"/>
      <c r="AB43" s="14"/>
      <c r="AC43" s="14"/>
      <c r="AD43" s="16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ht="15.75" thickBot="1" x14ac:dyDescent="0.3">
      <c r="A44" s="47"/>
      <c r="B44" s="208" t="str">
        <f>_xlfn.IFNA(VLOOKUP(A44,'Construction Sheet'!$A$3:$D$50,2,FALSE), "")</f>
        <v/>
      </c>
      <c r="C44" s="209"/>
      <c r="D44" s="209"/>
      <c r="E44" s="209"/>
      <c r="F44" s="210"/>
      <c r="G44" s="47" t="str">
        <f>_xlfn.IFNA(VLOOKUP(A44,'Construction Sheet'!$A$3:$D$50,3,FALSE),"")</f>
        <v/>
      </c>
      <c r="H44" s="47"/>
      <c r="I44" s="129" t="str">
        <f t="shared" si="0"/>
        <v/>
      </c>
      <c r="J44" s="130"/>
      <c r="K44" s="129" t="str">
        <f>IF($B44="","",IF($A44&gt;=1,IF($A44&lt;=33,VLOOKUP('Primary Operation 6'!$A44,'Construction Sheet'!$A$2:$F$35,5),""),""))</f>
        <v/>
      </c>
      <c r="L44" s="130"/>
      <c r="M44" s="129" t="str">
        <f>IF($B44="","",IF($A44&gt;=1,IF($A44&lt;=33,VLOOKUP('Primary Operation 6'!$A44,'Construction Sheet'!$A$2:$F$35,6),""),""))</f>
        <v/>
      </c>
      <c r="N44" s="130"/>
      <c r="O44" s="48"/>
      <c r="P44" s="131"/>
      <c r="Q44" s="132"/>
      <c r="R44" s="132"/>
      <c r="S44" s="130"/>
      <c r="T44" s="47"/>
      <c r="U44" s="47"/>
      <c r="V44" s="47"/>
      <c r="W44" s="47"/>
      <c r="X44" s="15"/>
      <c r="Y44" s="14"/>
      <c r="Z44" s="14"/>
      <c r="AA44" s="14"/>
      <c r="AB44" s="14"/>
      <c r="AC44" s="14"/>
      <c r="AD44" s="16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ht="15.75" thickBot="1" x14ac:dyDescent="0.3">
      <c r="A45" s="97" t="s">
        <v>53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9"/>
      <c r="T45" s="97" t="s">
        <v>54</v>
      </c>
      <c r="U45" s="99"/>
      <c r="V45" s="98" t="s">
        <v>55</v>
      </c>
      <c r="W45" s="99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</row>
    <row r="46" spans="1:46" ht="15" customHeight="1" x14ac:dyDescent="0.25">
      <c r="A46" s="91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3"/>
      <c r="T46" s="100"/>
      <c r="U46" s="101"/>
      <c r="V46" s="100"/>
      <c r="W46" s="101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</row>
    <row r="47" spans="1:46" ht="15" customHeight="1" x14ac:dyDescent="0.25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3"/>
      <c r="T47" s="100"/>
      <c r="U47" s="101"/>
      <c r="V47" s="100"/>
      <c r="W47" s="101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</row>
    <row r="48" spans="1:46" ht="15" customHeight="1" x14ac:dyDescent="0.25">
      <c r="A48" s="91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3"/>
      <c r="T48" s="100"/>
      <c r="U48" s="101"/>
      <c r="V48" s="100"/>
      <c r="W48" s="101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</row>
    <row r="49" spans="1:46" ht="15.75" customHeight="1" x14ac:dyDescent="0.25">
      <c r="A49" s="91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3"/>
      <c r="T49" s="100"/>
      <c r="U49" s="101"/>
      <c r="V49" s="100"/>
      <c r="W49" s="101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</row>
    <row r="50" spans="1:46" ht="15.75" customHeight="1" x14ac:dyDescent="0.25">
      <c r="A50" s="91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3"/>
      <c r="T50" s="100"/>
      <c r="U50" s="101"/>
      <c r="V50" s="100"/>
      <c r="W50" s="101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</row>
    <row r="51" spans="1:46" ht="15.75" customHeight="1" thickBot="1" x14ac:dyDescent="0.3">
      <c r="A51" s="94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102"/>
      <c r="U51" s="103"/>
      <c r="V51" s="102"/>
      <c r="W51" s="103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</row>
    <row r="52" spans="1:46" x14ac:dyDescent="0.25">
      <c r="A52" s="185" t="s">
        <v>190</v>
      </c>
      <c r="B52" s="185"/>
      <c r="C52" s="185"/>
      <c r="D52" s="78" t="str" cm="1">
        <f t="array" aca="1" ref="D52" ca="1">MID(CELL("filename",A1),FIND("[",CELL("filename",A1))+1,FIND(".xlsm",CELL("filename",A1))-FIND("[",CELL("filename",A1))-1)</f>
        <v>import_test</v>
      </c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 t="str">
        <f>IF(ISBLANK(Cover!D6),"",Cover!D6)</f>
        <v>26-0099</v>
      </c>
      <c r="V52" s="78"/>
      <c r="W52" s="78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</sheetData>
  <sheetProtection selectLockedCells="1"/>
  <mergeCells count="172">
    <mergeCell ref="T45:U45"/>
    <mergeCell ref="V45:W45"/>
    <mergeCell ref="A46:S51"/>
    <mergeCell ref="T46:U51"/>
    <mergeCell ref="V46:W51"/>
    <mergeCell ref="A52:C52"/>
    <mergeCell ref="D52:T52"/>
    <mergeCell ref="U52:W52"/>
    <mergeCell ref="B44:F44"/>
    <mergeCell ref="I44:J44"/>
    <mergeCell ref="K44:L44"/>
    <mergeCell ref="M44:N44"/>
    <mergeCell ref="P44:S44"/>
    <mergeCell ref="A45:S45"/>
    <mergeCell ref="B42:F42"/>
    <mergeCell ref="I42:J42"/>
    <mergeCell ref="K42:L42"/>
    <mergeCell ref="M42:N42"/>
    <mergeCell ref="P42:S42"/>
    <mergeCell ref="B43:F43"/>
    <mergeCell ref="I43:J43"/>
    <mergeCell ref="K43:L43"/>
    <mergeCell ref="M43:N43"/>
    <mergeCell ref="P43:S43"/>
    <mergeCell ref="B40:F40"/>
    <mergeCell ref="I40:J40"/>
    <mergeCell ref="K40:L40"/>
    <mergeCell ref="M40:N40"/>
    <mergeCell ref="P40:S40"/>
    <mergeCell ref="B41:F41"/>
    <mergeCell ref="I41:J41"/>
    <mergeCell ref="K41:L41"/>
    <mergeCell ref="M41:N41"/>
    <mergeCell ref="P41:S41"/>
    <mergeCell ref="B38:F38"/>
    <mergeCell ref="I38:J38"/>
    <mergeCell ref="K38:L38"/>
    <mergeCell ref="M38:N38"/>
    <mergeCell ref="P38:S38"/>
    <mergeCell ref="B39:F39"/>
    <mergeCell ref="I39:J39"/>
    <mergeCell ref="K39:L39"/>
    <mergeCell ref="M39:N39"/>
    <mergeCell ref="P39:S39"/>
    <mergeCell ref="B36:F36"/>
    <mergeCell ref="I36:J36"/>
    <mergeCell ref="K36:L36"/>
    <mergeCell ref="M36:N36"/>
    <mergeCell ref="P36:S36"/>
    <mergeCell ref="B37:F37"/>
    <mergeCell ref="I37:J37"/>
    <mergeCell ref="K37:L37"/>
    <mergeCell ref="M37:N37"/>
    <mergeCell ref="P37:S37"/>
    <mergeCell ref="B34:F34"/>
    <mergeCell ref="I34:J34"/>
    <mergeCell ref="K34:L34"/>
    <mergeCell ref="M34:N34"/>
    <mergeCell ref="P34:S34"/>
    <mergeCell ref="B35:F35"/>
    <mergeCell ref="I35:J35"/>
    <mergeCell ref="K35:L35"/>
    <mergeCell ref="M35:N35"/>
    <mergeCell ref="P35:S35"/>
    <mergeCell ref="B32:F32"/>
    <mergeCell ref="I32:J32"/>
    <mergeCell ref="K32:L32"/>
    <mergeCell ref="M32:N32"/>
    <mergeCell ref="P32:S32"/>
    <mergeCell ref="B33:F33"/>
    <mergeCell ref="I33:J33"/>
    <mergeCell ref="K33:L33"/>
    <mergeCell ref="M33:N33"/>
    <mergeCell ref="P33:S33"/>
    <mergeCell ref="B30:F30"/>
    <mergeCell ref="I30:J30"/>
    <mergeCell ref="K30:L30"/>
    <mergeCell ref="M30:N30"/>
    <mergeCell ref="P30:S30"/>
    <mergeCell ref="B31:F31"/>
    <mergeCell ref="I31:J31"/>
    <mergeCell ref="K31:L31"/>
    <mergeCell ref="M31:N31"/>
    <mergeCell ref="P31:S31"/>
    <mergeCell ref="A28:O28"/>
    <mergeCell ref="P28:W28"/>
    <mergeCell ref="B29:F29"/>
    <mergeCell ref="I29:J29"/>
    <mergeCell ref="K29:L29"/>
    <mergeCell ref="M29:N29"/>
    <mergeCell ref="P29:S29"/>
    <mergeCell ref="B26:F26"/>
    <mergeCell ref="H26:I26"/>
    <mergeCell ref="J26:K26"/>
    <mergeCell ref="M26:W27"/>
    <mergeCell ref="B27:F27"/>
    <mergeCell ref="H27:I27"/>
    <mergeCell ref="J27:K27"/>
    <mergeCell ref="B24:F24"/>
    <mergeCell ref="H24:I24"/>
    <mergeCell ref="J24:K24"/>
    <mergeCell ref="B25:F25"/>
    <mergeCell ref="H25:I25"/>
    <mergeCell ref="J25:K25"/>
    <mergeCell ref="A21:J21"/>
    <mergeCell ref="B22:F22"/>
    <mergeCell ref="H22:I22"/>
    <mergeCell ref="J22:K22"/>
    <mergeCell ref="B23:F23"/>
    <mergeCell ref="H23:I23"/>
    <mergeCell ref="J23:K23"/>
    <mergeCell ref="A19:B19"/>
    <mergeCell ref="C19:I19"/>
    <mergeCell ref="J19:K19"/>
    <mergeCell ref="A20:B20"/>
    <mergeCell ref="C20:I20"/>
    <mergeCell ref="J20:K20"/>
    <mergeCell ref="A17:B17"/>
    <mergeCell ref="C17:I17"/>
    <mergeCell ref="J17:K17"/>
    <mergeCell ref="A18:B18"/>
    <mergeCell ref="C18:I18"/>
    <mergeCell ref="J18:K18"/>
    <mergeCell ref="A14:L14"/>
    <mergeCell ref="A15:B15"/>
    <mergeCell ref="C15:I15"/>
    <mergeCell ref="J15:K15"/>
    <mergeCell ref="A16:B16"/>
    <mergeCell ref="C16:I16"/>
    <mergeCell ref="J16:K16"/>
    <mergeCell ref="B12:D12"/>
    <mergeCell ref="E12:H12"/>
    <mergeCell ref="I12:J12"/>
    <mergeCell ref="K12:L12"/>
    <mergeCell ref="B13:D13"/>
    <mergeCell ref="E13:F13"/>
    <mergeCell ref="G13:L13"/>
    <mergeCell ref="E11:H11"/>
    <mergeCell ref="I11:J11"/>
    <mergeCell ref="K11:L11"/>
    <mergeCell ref="B8:D8"/>
    <mergeCell ref="E8:H8"/>
    <mergeCell ref="I8:J8"/>
    <mergeCell ref="K8:L8"/>
    <mergeCell ref="B9:D9"/>
    <mergeCell ref="E9:H9"/>
    <mergeCell ref="I9:J9"/>
    <mergeCell ref="K9:L9"/>
    <mergeCell ref="A1:W2"/>
    <mergeCell ref="A3:L3"/>
    <mergeCell ref="M3:W3"/>
    <mergeCell ref="A4:B4"/>
    <mergeCell ref="C4:F4"/>
    <mergeCell ref="G4:H4"/>
    <mergeCell ref="I4:J4"/>
    <mergeCell ref="K4:L4"/>
    <mergeCell ref="M4:W25"/>
    <mergeCell ref="A5:B5"/>
    <mergeCell ref="C5:F5"/>
    <mergeCell ref="G5:H5"/>
    <mergeCell ref="I5:J5"/>
    <mergeCell ref="K5:L5"/>
    <mergeCell ref="A6:L6"/>
    <mergeCell ref="B7:D7"/>
    <mergeCell ref="E7:H7"/>
    <mergeCell ref="I7:J7"/>
    <mergeCell ref="K7:L7"/>
    <mergeCell ref="B10:D10"/>
    <mergeCell ref="E10:H10"/>
    <mergeCell ref="I10:J10"/>
    <mergeCell ref="K10:L10"/>
    <mergeCell ref="B11:D11"/>
  </mergeCells>
  <conditionalFormatting sqref="I30:I44">
    <cfRule type="notContainsText" dxfId="17" priority="5" operator="notContains" text="N/A">
      <formula>ISERROR(SEARCH("N/A",I30))</formula>
    </cfRule>
  </conditionalFormatting>
  <conditionalFormatting sqref="G30:G44">
    <cfRule type="expression" dxfId="16" priority="1">
      <formula>AND(IF($A30&gt;10,1),IF($A30&lt;18,1),IF($G30=".015",1))</formula>
    </cfRule>
    <cfRule type="expression" dxfId="15" priority="4">
      <formula>AND(IF($A30&gt;10,1),IF($A30&lt;18,1),IF($G30=".015r",1))</formula>
    </cfRule>
  </conditionalFormatting>
  <conditionalFormatting sqref="T46 V46">
    <cfRule type="notContainsText" dxfId="14" priority="2" operator="notContains" text="N/A">
      <formula>ISERROR(SEARCH("N/A",T46))</formula>
    </cfRule>
    <cfRule type="containsText" dxfId="13" priority="3" operator="containsText" text="N/A">
      <formula>NOT(ISERROR(SEARCH("N/A",T46)))</formula>
    </cfRule>
  </conditionalFormatting>
  <pageMargins left="0" right="0" top="0" bottom="0" header="0.3" footer="0.3"/>
  <pageSetup paperSize="17" orientation="landscape" r:id="rId1"/>
  <ignoredErrors>
    <ignoredError sqref="A4:W4 A6:W7 B5 L5:W5 D5:F5 H5 A14:W29 A13 H13:W13 A11:W12 A8 E8:W8 A9 E9:W9 A10 C10:W10 C13:F13 A33:W45 B30:F30 B32:G32 I30:N30 I32:N32 P30:W30 P32:W3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600-000000000000}">
          <x14:formula1>
            <xm:f>'Construction Sheet'!$M$2:$M$3</xm:f>
          </x14:formula1>
          <xm:sqref>B11:D11</xm:sqref>
        </x14:dataValidation>
        <x14:dataValidation type="list" allowBlank="1" xr:uid="{00000000-0002-0000-0600-000001000000}">
          <x14:formula1>
            <xm:f>'Construction Sheet'!$N$2</xm:f>
          </x14:formula1>
          <xm:sqref>B12:D12</xm:sqref>
        </x14:dataValidation>
        <x14:dataValidation type="list" allowBlank="1" xr:uid="{00000000-0002-0000-0600-000002000000}">
          <x14:formula1>
            <xm:f>'Construction Sheet'!$G$2:$G$4</xm:f>
          </x14:formula1>
          <xm:sqref>B13</xm:sqref>
        </x14:dataValidation>
        <x14:dataValidation type="list" allowBlank="1" xr:uid="{00000000-0002-0000-0600-000003000000}">
          <x14:formula1>
            <xm:f>'Construction Sheet'!$I$2:$I$5</xm:f>
          </x14:formula1>
          <xm:sqref>G5</xm:sqref>
        </x14:dataValidation>
        <x14:dataValidation type="list" allowBlank="1" xr:uid="{00000000-0002-0000-0600-000004000000}">
          <x14:formula1>
            <xm:f>'Construction Sheet'!$K$2:$K$3</xm:f>
          </x14:formula1>
          <xm:sqref>B8:B9</xm:sqref>
        </x14:dataValidation>
        <x14:dataValidation type="list" allowBlank="1" xr:uid="{00000000-0002-0000-0600-000005000000}">
          <x14:formula1>
            <xm:f>'Construction Sheet'!$L$2:$L$4</xm:f>
          </x14:formula1>
          <xm:sqref>B10</xm:sqref>
        </x14:dataValidation>
        <x14:dataValidation type="list" allowBlank="1" xr:uid="{00000000-0002-0000-0600-000006000000}">
          <x14:formula1>
            <xm:f>'Construction Sheet'!$H$2:$H$5</xm:f>
          </x14:formula1>
          <xm:sqref>A5:B5</xm:sqref>
        </x14:dataValidation>
        <x14:dataValidation type="list" allowBlank="1" showInputMessage="1" xr:uid="{00000000-0002-0000-0600-000007000000}">
          <x14:formula1>
            <xm:f>'Construction Sheet'!$K$27</xm:f>
          </x14:formula1>
          <xm:sqref>I5:J5</xm:sqref>
        </x14:dataValidation>
        <x14:dataValidation type="list" allowBlank="1" showInputMessage="1" xr:uid="{00000000-0002-0000-0600-000008000000}">
          <x14:formula1>
            <xm:f>'Construction Sheet'!$H$32:$H$38</xm:f>
          </x14:formula1>
          <xm:sqref>K30:L44</xm:sqref>
        </x14:dataValidation>
        <x14:dataValidation type="list" allowBlank="1" showInputMessage="1" xr:uid="{00000000-0002-0000-0600-000009000000}">
          <x14:formula1>
            <xm:f>'Construction Sheet'!$I$32:$I$36</xm:f>
          </x14:formula1>
          <xm:sqref>M30:N44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theme="1"/>
  </sheetPr>
  <dimension ref="A1:AT52"/>
  <sheetViews>
    <sheetView view="pageLayout" zoomScaleNormal="100" workbookViewId="0">
      <selection activeCell="K34" sqref="K34:L34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46" ht="12.75" customHeight="1" x14ac:dyDescent="0.25">
      <c r="A1" s="138" t="s">
        <v>61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5" customHeight="1" thickBot="1" x14ac:dyDescent="0.3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5.75" thickBot="1" x14ac:dyDescent="0.3">
      <c r="A3" s="165" t="s">
        <v>12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5"/>
      <c r="M3" s="165" t="s">
        <v>13</v>
      </c>
      <c r="N3" s="134"/>
      <c r="O3" s="134"/>
      <c r="P3" s="134"/>
      <c r="Q3" s="134"/>
      <c r="R3" s="134"/>
      <c r="S3" s="134"/>
      <c r="T3" s="134"/>
      <c r="U3" s="134"/>
      <c r="V3" s="134"/>
      <c r="W3" s="135"/>
      <c r="X3" s="12"/>
      <c r="Y3" s="13"/>
      <c r="Z3" s="13"/>
      <c r="AA3" s="13"/>
      <c r="AB3" s="13"/>
      <c r="AC3" s="13"/>
      <c r="AD3" s="12"/>
      <c r="AE3" s="13"/>
      <c r="AF3" s="13"/>
      <c r="AG3" s="13"/>
      <c r="AH3" s="13"/>
      <c r="AI3" s="13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8" t="s">
        <v>14</v>
      </c>
      <c r="B4" s="184"/>
      <c r="C4" s="148" t="s">
        <v>15</v>
      </c>
      <c r="D4" s="184"/>
      <c r="E4" s="184"/>
      <c r="F4" s="149"/>
      <c r="G4" s="148" t="s">
        <v>16</v>
      </c>
      <c r="H4" s="149"/>
      <c r="I4" s="148" t="s">
        <v>17</v>
      </c>
      <c r="J4" s="149"/>
      <c r="K4" s="148" t="s">
        <v>18</v>
      </c>
      <c r="L4" s="184"/>
      <c r="M4" s="178"/>
      <c r="N4" s="179"/>
      <c r="O4" s="179"/>
      <c r="P4" s="179"/>
      <c r="Q4" s="179"/>
      <c r="R4" s="179"/>
      <c r="S4" s="179"/>
      <c r="T4" s="179"/>
      <c r="U4" s="179"/>
      <c r="V4" s="179"/>
      <c r="W4" s="180"/>
      <c r="X4" s="15"/>
      <c r="Y4" s="14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.75" thickBot="1" x14ac:dyDescent="0.3">
      <c r="A5" s="160"/>
      <c r="B5" s="161"/>
      <c r="C5" s="157"/>
      <c r="D5" s="158"/>
      <c r="E5" s="158"/>
      <c r="F5" s="159"/>
      <c r="G5" s="160"/>
      <c r="H5" s="161"/>
      <c r="I5" s="160"/>
      <c r="J5" s="161"/>
      <c r="K5" s="160"/>
      <c r="L5" s="164"/>
      <c r="M5" s="181"/>
      <c r="N5" s="182"/>
      <c r="O5" s="182"/>
      <c r="P5" s="182"/>
      <c r="Q5" s="182"/>
      <c r="R5" s="182"/>
      <c r="S5" s="182"/>
      <c r="T5" s="182"/>
      <c r="U5" s="182"/>
      <c r="V5" s="182"/>
      <c r="W5" s="183"/>
      <c r="X5" s="15"/>
      <c r="Y5" s="14"/>
      <c r="Z5" s="14"/>
      <c r="AA5" s="14"/>
      <c r="AB5" s="14"/>
      <c r="AC5" s="14"/>
      <c r="AD5" s="16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ht="15.75" thickBot="1" x14ac:dyDescent="0.3">
      <c r="A6" s="162" t="s">
        <v>19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81"/>
      <c r="N6" s="182"/>
      <c r="O6" s="182"/>
      <c r="P6" s="182"/>
      <c r="Q6" s="182"/>
      <c r="R6" s="182"/>
      <c r="S6" s="182"/>
      <c r="T6" s="182"/>
      <c r="U6" s="182"/>
      <c r="V6" s="182"/>
      <c r="W6" s="183"/>
      <c r="X6" s="15"/>
      <c r="Y6" s="14"/>
      <c r="Z6" s="14"/>
      <c r="AA6" s="14"/>
      <c r="AB6" s="14"/>
      <c r="AC6" s="14"/>
      <c r="AD6" s="16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ht="15.75" thickBot="1" x14ac:dyDescent="0.3">
      <c r="A7" s="7" t="s">
        <v>20</v>
      </c>
      <c r="B7" s="140" t="s">
        <v>21</v>
      </c>
      <c r="C7" s="150"/>
      <c r="D7" s="141"/>
      <c r="E7" s="140" t="s">
        <v>22</v>
      </c>
      <c r="F7" s="150"/>
      <c r="G7" s="150"/>
      <c r="H7" s="141"/>
      <c r="I7" s="140" t="s">
        <v>23</v>
      </c>
      <c r="J7" s="141"/>
      <c r="K7" s="140" t="s">
        <v>24</v>
      </c>
      <c r="L7" s="150"/>
      <c r="M7" s="181"/>
      <c r="N7" s="182"/>
      <c r="O7" s="182"/>
      <c r="P7" s="182"/>
      <c r="Q7" s="182"/>
      <c r="R7" s="182"/>
      <c r="S7" s="182"/>
      <c r="T7" s="182"/>
      <c r="U7" s="182"/>
      <c r="V7" s="182"/>
      <c r="W7" s="183"/>
      <c r="X7" s="15"/>
      <c r="Y7" s="14"/>
      <c r="Z7" s="14"/>
      <c r="AA7" s="14"/>
      <c r="AB7" s="14"/>
      <c r="AC7" s="14"/>
      <c r="AD7" s="16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24" t="s">
        <v>25</v>
      </c>
      <c r="B8" s="175"/>
      <c r="C8" s="176"/>
      <c r="D8" s="177"/>
      <c r="E8" s="142"/>
      <c r="F8" s="151"/>
      <c r="G8" s="151"/>
      <c r="H8" s="143"/>
      <c r="I8" s="142"/>
      <c r="J8" s="173"/>
      <c r="K8" s="172"/>
      <c r="L8" s="143"/>
      <c r="M8" s="181"/>
      <c r="N8" s="182"/>
      <c r="O8" s="182"/>
      <c r="P8" s="182"/>
      <c r="Q8" s="182"/>
      <c r="R8" s="182"/>
      <c r="S8" s="182"/>
      <c r="T8" s="182"/>
      <c r="U8" s="182"/>
      <c r="V8" s="182"/>
      <c r="W8" s="183"/>
      <c r="X8" s="15"/>
      <c r="Y8" s="14"/>
      <c r="Z8" s="14"/>
      <c r="AA8" s="14"/>
      <c r="AB8" s="14"/>
      <c r="AC8" s="14"/>
      <c r="AD8" s="16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3" t="s">
        <v>26</v>
      </c>
      <c r="B9" s="128"/>
      <c r="C9" s="123"/>
      <c r="D9" s="124"/>
      <c r="E9" s="144"/>
      <c r="F9" s="152"/>
      <c r="G9" s="152"/>
      <c r="H9" s="145"/>
      <c r="I9" s="144"/>
      <c r="J9" s="174"/>
      <c r="K9" s="156"/>
      <c r="L9" s="145"/>
      <c r="M9" s="181"/>
      <c r="N9" s="182"/>
      <c r="O9" s="182"/>
      <c r="P9" s="182"/>
      <c r="Q9" s="182"/>
      <c r="R9" s="182"/>
      <c r="S9" s="182"/>
      <c r="T9" s="182"/>
      <c r="U9" s="182"/>
      <c r="V9" s="182"/>
      <c r="W9" s="183"/>
      <c r="X9" s="15"/>
      <c r="Y9" s="14"/>
      <c r="Z9" s="14"/>
      <c r="AA9" s="14"/>
      <c r="AB9" s="14"/>
      <c r="AC9" s="14"/>
      <c r="AD9" s="16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8" t="s">
        <v>27</v>
      </c>
      <c r="B10" s="127"/>
      <c r="C10" s="120"/>
      <c r="D10" s="121"/>
      <c r="E10" s="146"/>
      <c r="F10" s="153"/>
      <c r="G10" s="153"/>
      <c r="H10" s="147"/>
      <c r="I10" s="146"/>
      <c r="J10" s="188"/>
      <c r="K10" s="189"/>
      <c r="L10" s="147"/>
      <c r="M10" s="181"/>
      <c r="N10" s="182"/>
      <c r="O10" s="182"/>
      <c r="P10" s="182"/>
      <c r="Q10" s="182"/>
      <c r="R10" s="182"/>
      <c r="S10" s="182"/>
      <c r="T10" s="182"/>
      <c r="U10" s="182"/>
      <c r="V10" s="182"/>
      <c r="W10" s="183"/>
      <c r="X10" s="15"/>
      <c r="Y10" s="14"/>
      <c r="Z10" s="14"/>
      <c r="AA10" s="14"/>
      <c r="AB10" s="14"/>
      <c r="AC10" s="14"/>
      <c r="AD10" s="16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3" t="s">
        <v>28</v>
      </c>
      <c r="B11" s="128" t="str" cm="1">
        <f t="array" ref="B11">_xlfn.IFS(G5="VMC","N/A",G5="HBMX","",G5="Lathe","N/A",G5="VMC / Rotary A","",G5="","")</f>
        <v/>
      </c>
      <c r="C11" s="123"/>
      <c r="D11" s="124"/>
      <c r="E11" s="144"/>
      <c r="F11" s="152"/>
      <c r="G11" s="152"/>
      <c r="H11" s="145"/>
      <c r="I11" s="144"/>
      <c r="J11" s="174"/>
      <c r="K11" s="156"/>
      <c r="L11" s="145"/>
      <c r="M11" s="181"/>
      <c r="N11" s="182"/>
      <c r="O11" s="182"/>
      <c r="P11" s="182"/>
      <c r="Q11" s="182"/>
      <c r="R11" s="182"/>
      <c r="S11" s="182"/>
      <c r="T11" s="182"/>
      <c r="U11" s="182"/>
      <c r="V11" s="182"/>
      <c r="W11" s="183"/>
      <c r="X11" s="15"/>
      <c r="Y11" s="14"/>
      <c r="Z11" s="14"/>
      <c r="AA11" s="14"/>
      <c r="AB11" s="14"/>
      <c r="AC11" s="14"/>
      <c r="AD11" s="16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ht="15.75" thickBot="1" x14ac:dyDescent="0.3">
      <c r="A12" s="25" t="s">
        <v>29</v>
      </c>
      <c r="B12" s="191" t="str" cm="1">
        <f t="array" ref="B12">_xlfn.IFS(G5="VMC","N/A",G5="HBMX","",G5="Lathe","N/A",G5="VMC / Rotary A","N/A",G5="","")</f>
        <v/>
      </c>
      <c r="C12" s="192"/>
      <c r="D12" s="193"/>
      <c r="E12" s="186"/>
      <c r="F12" s="190"/>
      <c r="G12" s="190"/>
      <c r="H12" s="155"/>
      <c r="I12" s="186"/>
      <c r="J12" s="187"/>
      <c r="K12" s="154"/>
      <c r="L12" s="155"/>
      <c r="M12" s="181"/>
      <c r="N12" s="182"/>
      <c r="O12" s="182"/>
      <c r="P12" s="182"/>
      <c r="Q12" s="182"/>
      <c r="R12" s="182"/>
      <c r="S12" s="182"/>
      <c r="T12" s="182"/>
      <c r="U12" s="182"/>
      <c r="V12" s="182"/>
      <c r="W12" s="183"/>
      <c r="X12" s="15"/>
      <c r="Y12" s="14"/>
      <c r="Z12" s="14"/>
      <c r="AA12" s="14"/>
      <c r="AB12" s="14"/>
      <c r="AC12" s="14"/>
      <c r="AD12" s="16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ht="15.75" thickBot="1" x14ac:dyDescent="0.3">
      <c r="A13" s="7" t="s">
        <v>30</v>
      </c>
      <c r="B13" s="194"/>
      <c r="C13" s="195"/>
      <c r="D13" s="204"/>
      <c r="E13" s="202" t="s">
        <v>31</v>
      </c>
      <c r="F13" s="203"/>
      <c r="G13" s="194"/>
      <c r="H13" s="195"/>
      <c r="I13" s="195"/>
      <c r="J13" s="195"/>
      <c r="K13" s="195"/>
      <c r="L13" s="195"/>
      <c r="M13" s="181"/>
      <c r="N13" s="182"/>
      <c r="O13" s="182"/>
      <c r="P13" s="182"/>
      <c r="Q13" s="182"/>
      <c r="R13" s="182"/>
      <c r="S13" s="182"/>
      <c r="T13" s="182"/>
      <c r="U13" s="182"/>
      <c r="V13" s="182"/>
      <c r="W13" s="183"/>
      <c r="X13" s="15"/>
      <c r="Y13" s="14"/>
      <c r="Z13" s="14"/>
      <c r="AA13" s="14"/>
      <c r="AB13" s="14"/>
      <c r="AC13" s="14"/>
      <c r="AD13" s="16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ht="15.75" thickBot="1" x14ac:dyDescent="0.3">
      <c r="A14" s="165" t="s">
        <v>32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5"/>
      <c r="M14" s="181"/>
      <c r="N14" s="182"/>
      <c r="O14" s="182"/>
      <c r="P14" s="182"/>
      <c r="Q14" s="182"/>
      <c r="R14" s="182"/>
      <c r="S14" s="182"/>
      <c r="T14" s="182"/>
      <c r="U14" s="182"/>
      <c r="V14" s="182"/>
      <c r="W14" s="183"/>
      <c r="X14" s="15"/>
      <c r="Y14" s="14"/>
      <c r="Z14" s="14"/>
      <c r="AA14" s="14"/>
      <c r="AB14" s="14"/>
      <c r="AC14" s="14"/>
      <c r="AD14" s="16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ht="15.75" thickBot="1" x14ac:dyDescent="0.3">
      <c r="A15" s="140" t="s">
        <v>17</v>
      </c>
      <c r="B15" s="141"/>
      <c r="C15" s="150" t="s">
        <v>33</v>
      </c>
      <c r="D15" s="150"/>
      <c r="E15" s="150"/>
      <c r="F15" s="150"/>
      <c r="G15" s="150"/>
      <c r="H15" s="150"/>
      <c r="I15" s="141"/>
      <c r="J15" s="104" t="s">
        <v>34</v>
      </c>
      <c r="K15" s="106"/>
      <c r="L15" s="22" t="s">
        <v>35</v>
      </c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3"/>
      <c r="X15" s="15"/>
      <c r="Y15" s="14"/>
      <c r="Z15" s="14"/>
      <c r="AA15" s="14"/>
      <c r="AB15" s="14"/>
      <c r="AC15" s="14"/>
      <c r="AD15" s="16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2"/>
      <c r="B16" s="143"/>
      <c r="C16" s="151"/>
      <c r="D16" s="151"/>
      <c r="E16" s="151"/>
      <c r="F16" s="151"/>
      <c r="G16" s="151"/>
      <c r="H16" s="151"/>
      <c r="I16" s="143"/>
      <c r="J16" s="107"/>
      <c r="K16" s="109"/>
      <c r="L16" s="6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3"/>
      <c r="X16" s="15"/>
      <c r="Y16" s="14"/>
      <c r="Z16" s="14"/>
      <c r="AA16" s="14"/>
      <c r="AB16" s="14"/>
      <c r="AC16" s="14"/>
      <c r="AD16" s="16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4"/>
      <c r="B17" s="145"/>
      <c r="C17" s="152"/>
      <c r="D17" s="152"/>
      <c r="E17" s="152"/>
      <c r="F17" s="152"/>
      <c r="G17" s="152"/>
      <c r="H17" s="152"/>
      <c r="I17" s="145"/>
      <c r="J17" s="110"/>
      <c r="K17" s="112"/>
      <c r="L17" s="4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3"/>
      <c r="X17" s="15"/>
      <c r="Y17" s="14"/>
      <c r="Z17" s="14"/>
      <c r="AA17" s="14"/>
      <c r="AB17" s="14"/>
      <c r="AC17" s="14"/>
      <c r="AD17" s="16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146"/>
      <c r="B18" s="147"/>
      <c r="C18" s="153"/>
      <c r="D18" s="153"/>
      <c r="E18" s="153"/>
      <c r="F18" s="153"/>
      <c r="G18" s="153"/>
      <c r="H18" s="153"/>
      <c r="I18" s="147"/>
      <c r="J18" s="113"/>
      <c r="K18" s="115"/>
      <c r="L18" s="5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3"/>
      <c r="X18" s="15"/>
      <c r="Y18" s="14"/>
      <c r="Z18" s="14"/>
      <c r="AA18" s="14"/>
      <c r="AB18" s="14"/>
      <c r="AC18" s="14"/>
      <c r="AD18" s="16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144"/>
      <c r="B19" s="145"/>
      <c r="C19" s="152"/>
      <c r="D19" s="152"/>
      <c r="E19" s="152"/>
      <c r="F19" s="152"/>
      <c r="G19" s="152"/>
      <c r="H19" s="152"/>
      <c r="I19" s="145"/>
      <c r="J19" s="110"/>
      <c r="K19" s="112"/>
      <c r="L19" s="4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3"/>
      <c r="X19" s="15"/>
      <c r="Y19" s="14"/>
      <c r="Z19" s="14"/>
      <c r="AA19" s="14"/>
      <c r="AB19" s="14"/>
      <c r="AC19" s="14"/>
      <c r="AD19" s="16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ht="15.75" thickBot="1" x14ac:dyDescent="0.3">
      <c r="A20" s="146"/>
      <c r="B20" s="147"/>
      <c r="C20" s="153"/>
      <c r="D20" s="153"/>
      <c r="E20" s="153"/>
      <c r="F20" s="153"/>
      <c r="G20" s="153"/>
      <c r="H20" s="153"/>
      <c r="I20" s="147"/>
      <c r="J20" s="113"/>
      <c r="K20" s="115"/>
      <c r="L20" s="5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3"/>
      <c r="X20" s="15"/>
      <c r="Y20" s="14"/>
      <c r="Z20" s="14"/>
      <c r="AA20" s="14"/>
      <c r="AB20" s="14"/>
      <c r="AC20" s="14"/>
      <c r="AD20" s="16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5.75" thickBot="1" x14ac:dyDescent="0.3">
      <c r="A21" s="162" t="s">
        <v>36</v>
      </c>
      <c r="B21" s="196"/>
      <c r="C21" s="196"/>
      <c r="D21" s="196"/>
      <c r="E21" s="196"/>
      <c r="F21" s="196"/>
      <c r="G21" s="163"/>
      <c r="H21" s="163"/>
      <c r="I21" s="163"/>
      <c r="J21" s="197"/>
      <c r="K21" s="49"/>
      <c r="L21" s="50"/>
      <c r="M21" s="181"/>
      <c r="N21" s="182"/>
      <c r="O21" s="182"/>
      <c r="P21" s="182"/>
      <c r="Q21" s="182"/>
      <c r="R21" s="182"/>
      <c r="S21" s="182"/>
      <c r="T21" s="182"/>
      <c r="U21" s="182"/>
      <c r="V21" s="182"/>
      <c r="W21" s="183"/>
      <c r="X21" s="15"/>
      <c r="Y21" s="14"/>
      <c r="Z21" s="14"/>
      <c r="AA21" s="14"/>
      <c r="AB21" s="14"/>
      <c r="AC21" s="14"/>
      <c r="AD21" s="16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ht="15.75" thickBot="1" x14ac:dyDescent="0.3">
      <c r="A22" s="40" t="s">
        <v>37</v>
      </c>
      <c r="B22" s="104" t="s">
        <v>17</v>
      </c>
      <c r="C22" s="105"/>
      <c r="D22" s="105"/>
      <c r="E22" s="105"/>
      <c r="F22" s="106"/>
      <c r="G22" s="43" t="s">
        <v>38</v>
      </c>
      <c r="H22" s="140" t="s">
        <v>39</v>
      </c>
      <c r="I22" s="141"/>
      <c r="J22" s="140" t="s">
        <v>34</v>
      </c>
      <c r="K22" s="141"/>
      <c r="L22" s="41" t="s">
        <v>35</v>
      </c>
      <c r="M22" s="181"/>
      <c r="N22" s="182"/>
      <c r="O22" s="182"/>
      <c r="P22" s="182"/>
      <c r="Q22" s="182"/>
      <c r="R22" s="182"/>
      <c r="S22" s="182"/>
      <c r="T22" s="182"/>
      <c r="U22" s="182"/>
      <c r="V22" s="182"/>
      <c r="W22" s="183"/>
      <c r="X22" s="15"/>
      <c r="Y22" s="14"/>
      <c r="Z22" s="14"/>
      <c r="AA22" s="14"/>
      <c r="AB22" s="14"/>
      <c r="AC22" s="14"/>
      <c r="AD22" s="16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26">
        <v>1</v>
      </c>
      <c r="B23" s="107"/>
      <c r="C23" s="108"/>
      <c r="D23" s="108"/>
      <c r="E23" s="108"/>
      <c r="F23" s="109"/>
      <c r="G23" s="34"/>
      <c r="H23" s="142"/>
      <c r="I23" s="143"/>
      <c r="J23" s="142"/>
      <c r="K23" s="143"/>
      <c r="L23" s="51"/>
      <c r="M23" s="181"/>
      <c r="N23" s="182"/>
      <c r="O23" s="182"/>
      <c r="P23" s="182"/>
      <c r="Q23" s="182"/>
      <c r="R23" s="182"/>
      <c r="S23" s="182"/>
      <c r="T23" s="182"/>
      <c r="U23" s="182"/>
      <c r="V23" s="182"/>
      <c r="W23" s="183"/>
      <c r="X23" s="15"/>
      <c r="Y23" s="14"/>
      <c r="Z23" s="14"/>
      <c r="AA23" s="14"/>
      <c r="AB23" s="14"/>
      <c r="AC23" s="14"/>
      <c r="AD23" s="16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27">
        <v>2</v>
      </c>
      <c r="B24" s="110"/>
      <c r="C24" s="111"/>
      <c r="D24" s="111"/>
      <c r="E24" s="111"/>
      <c r="F24" s="112"/>
      <c r="G24" s="44"/>
      <c r="H24" s="144"/>
      <c r="I24" s="145"/>
      <c r="J24" s="144"/>
      <c r="K24" s="145"/>
      <c r="L24" s="42"/>
      <c r="M24" s="181"/>
      <c r="N24" s="182"/>
      <c r="O24" s="182"/>
      <c r="P24" s="182"/>
      <c r="Q24" s="182"/>
      <c r="R24" s="182"/>
      <c r="S24" s="182"/>
      <c r="T24" s="182"/>
      <c r="U24" s="182"/>
      <c r="V24" s="182"/>
      <c r="W24" s="183"/>
      <c r="X24" s="15"/>
      <c r="Y24" s="14"/>
      <c r="Z24" s="14"/>
      <c r="AA24" s="14"/>
      <c r="AB24" s="14"/>
      <c r="AC24" s="14"/>
      <c r="AD24" s="16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28">
        <v>3</v>
      </c>
      <c r="B25" s="113"/>
      <c r="C25" s="114"/>
      <c r="D25" s="114"/>
      <c r="E25" s="114"/>
      <c r="F25" s="115"/>
      <c r="G25" s="38"/>
      <c r="H25" s="146"/>
      <c r="I25" s="147"/>
      <c r="J25" s="146"/>
      <c r="K25" s="147"/>
      <c r="L25" s="39"/>
      <c r="M25" s="181"/>
      <c r="N25" s="182"/>
      <c r="O25" s="182"/>
      <c r="P25" s="182"/>
      <c r="Q25" s="182"/>
      <c r="R25" s="182"/>
      <c r="S25" s="182"/>
      <c r="T25" s="182"/>
      <c r="U25" s="182"/>
      <c r="V25" s="182"/>
      <c r="W25" s="183"/>
      <c r="X25" s="15"/>
      <c r="Y25" s="14"/>
      <c r="Z25" s="14"/>
      <c r="AA25" s="14"/>
      <c r="AB25" s="14"/>
      <c r="AC25" s="14"/>
      <c r="AD25" s="16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ht="15" customHeight="1" x14ac:dyDescent="0.25">
      <c r="A26" s="27">
        <v>4</v>
      </c>
      <c r="B26" s="110"/>
      <c r="C26" s="111"/>
      <c r="D26" s="111"/>
      <c r="E26" s="111"/>
      <c r="F26" s="112"/>
      <c r="G26" s="44"/>
      <c r="H26" s="144"/>
      <c r="I26" s="145"/>
      <c r="J26" s="144"/>
      <c r="K26" s="145"/>
      <c r="L26" s="42"/>
      <c r="M26" s="166" t="s">
        <v>40</v>
      </c>
      <c r="N26" s="167"/>
      <c r="O26" s="167"/>
      <c r="P26" s="167"/>
      <c r="Q26" s="167"/>
      <c r="R26" s="167"/>
      <c r="S26" s="167"/>
      <c r="T26" s="167"/>
      <c r="U26" s="167"/>
      <c r="V26" s="167"/>
      <c r="W26" s="168"/>
      <c r="X26" s="15"/>
      <c r="Y26" s="14"/>
      <c r="Z26" s="14"/>
      <c r="AA26" s="14"/>
      <c r="AB26" s="14"/>
      <c r="AC26" s="14"/>
      <c r="AD26" s="16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ht="15.75" customHeight="1" thickBot="1" x14ac:dyDescent="0.3">
      <c r="A27" s="29">
        <v>5</v>
      </c>
      <c r="B27" s="116"/>
      <c r="C27" s="117"/>
      <c r="D27" s="117"/>
      <c r="E27" s="117"/>
      <c r="F27" s="118"/>
      <c r="G27" s="46"/>
      <c r="H27" s="186"/>
      <c r="I27" s="155"/>
      <c r="J27" s="186"/>
      <c r="K27" s="155"/>
      <c r="L27" s="45"/>
      <c r="M27" s="169"/>
      <c r="N27" s="170"/>
      <c r="O27" s="170"/>
      <c r="P27" s="170"/>
      <c r="Q27" s="170"/>
      <c r="R27" s="170"/>
      <c r="S27" s="170"/>
      <c r="T27" s="170"/>
      <c r="U27" s="170"/>
      <c r="V27" s="170"/>
      <c r="W27" s="171"/>
      <c r="X27" s="15"/>
      <c r="Y27" s="14"/>
      <c r="Z27" s="14"/>
      <c r="AA27" s="14"/>
      <c r="AB27" s="14"/>
      <c r="AC27" s="14"/>
      <c r="AD27" s="16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ht="15.75" thickBot="1" x14ac:dyDescent="0.3">
      <c r="A28" s="165" t="s">
        <v>41</v>
      </c>
      <c r="B28" s="198"/>
      <c r="C28" s="198"/>
      <c r="D28" s="198"/>
      <c r="E28" s="198"/>
      <c r="F28" s="198"/>
      <c r="G28" s="134"/>
      <c r="H28" s="134"/>
      <c r="I28" s="134"/>
      <c r="J28" s="134"/>
      <c r="K28" s="134"/>
      <c r="L28" s="134"/>
      <c r="M28" s="134"/>
      <c r="N28" s="134"/>
      <c r="O28" s="134"/>
      <c r="P28" s="133" t="s">
        <v>42</v>
      </c>
      <c r="Q28" s="134"/>
      <c r="R28" s="134"/>
      <c r="S28" s="134"/>
      <c r="T28" s="134"/>
      <c r="U28" s="134"/>
      <c r="V28" s="134"/>
      <c r="W28" s="135"/>
      <c r="X28" s="15"/>
      <c r="Y28" s="14"/>
      <c r="Z28" s="14"/>
      <c r="AA28" s="14"/>
      <c r="AB28" s="14"/>
      <c r="AC28" s="14"/>
      <c r="AD28" s="16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6" t="s">
        <v>38</v>
      </c>
      <c r="B29" s="178" t="s">
        <v>43</v>
      </c>
      <c r="C29" s="179"/>
      <c r="D29" s="179"/>
      <c r="E29" s="179"/>
      <c r="F29" s="180"/>
      <c r="G29" s="35" t="s">
        <v>44</v>
      </c>
      <c r="H29" s="36" t="s">
        <v>45</v>
      </c>
      <c r="I29" s="125" t="s">
        <v>46</v>
      </c>
      <c r="J29" s="126"/>
      <c r="K29" s="125" t="s">
        <v>47</v>
      </c>
      <c r="L29" s="126"/>
      <c r="M29" s="125" t="s">
        <v>48</v>
      </c>
      <c r="N29" s="126"/>
      <c r="O29" s="10" t="s">
        <v>49</v>
      </c>
      <c r="P29" s="136" t="s">
        <v>50</v>
      </c>
      <c r="Q29" s="137"/>
      <c r="R29" s="137"/>
      <c r="S29" s="126"/>
      <c r="T29" s="36" t="s">
        <v>51</v>
      </c>
      <c r="U29" s="36" t="s">
        <v>52</v>
      </c>
      <c r="V29" s="36" t="s">
        <v>35</v>
      </c>
      <c r="W29" s="35" t="s">
        <v>24</v>
      </c>
      <c r="X29" s="15"/>
      <c r="Y29" s="14"/>
      <c r="Z29" s="14"/>
      <c r="AA29" s="14"/>
      <c r="AB29" s="14"/>
      <c r="AC29" s="14"/>
      <c r="AD29" s="16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3"/>
      <c r="B30" s="199" t="str">
        <f>_xlfn.IFNA(VLOOKUP(A30,'Construction Sheet'!$A$3:$D$50,2,FALSE), "")</f>
        <v/>
      </c>
      <c r="C30" s="200"/>
      <c r="D30" s="200"/>
      <c r="E30" s="200"/>
      <c r="F30" s="201"/>
      <c r="G30" s="33" t="str">
        <f>_xlfn.IFNA(VLOOKUP(A30,'Construction Sheet'!$A$3:$D$50,3,FALSE),"")</f>
        <v/>
      </c>
      <c r="H30" s="33"/>
      <c r="I30" s="127" t="str">
        <f>IF($B30="","",IF(10&lt;$A30,IF($A30&lt;18,".002","N/A"),"N/A"))</f>
        <v/>
      </c>
      <c r="J30" s="121"/>
      <c r="K30" s="127" t="str">
        <f>IF($B30="","",IF($A30&gt;=1,IF($A30&lt;=33,VLOOKUP('Primary Operation 7'!$A30,'Construction Sheet'!$A$2:$F$35,5),""),""))</f>
        <v/>
      </c>
      <c r="L30" s="121"/>
      <c r="M30" s="127" t="str">
        <f>IF($B30="","",IF($A30&gt;=1,IF($A30&lt;=33,VLOOKUP('Primary Operation 7'!$A30,'Construction Sheet'!$A$2:$F$35,6),""),""))</f>
        <v/>
      </c>
      <c r="N30" s="121"/>
      <c r="O30" s="32"/>
      <c r="P30" s="119"/>
      <c r="Q30" s="120"/>
      <c r="R30" s="120"/>
      <c r="S30" s="121"/>
      <c r="T30" s="33"/>
      <c r="U30" s="33"/>
      <c r="V30" s="33"/>
      <c r="W30" s="33"/>
      <c r="X30" s="15"/>
      <c r="Y30" s="14"/>
      <c r="Z30" s="14"/>
      <c r="AA30" s="14"/>
      <c r="AB30" s="14"/>
      <c r="AC30" s="14"/>
      <c r="AD30" s="16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ht="15" customHeight="1" x14ac:dyDescent="0.25">
      <c r="A31" s="31"/>
      <c r="B31" s="205" t="str">
        <f>_xlfn.IFNA(VLOOKUP(A31,'Construction Sheet'!$A$3:$D$50,2,FALSE), "")</f>
        <v/>
      </c>
      <c r="C31" s="206"/>
      <c r="D31" s="206"/>
      <c r="E31" s="206"/>
      <c r="F31" s="207"/>
      <c r="G31" s="31" t="str">
        <f>_xlfn.IFNA(VLOOKUP(A31,'Construction Sheet'!$A$3:$D$50,3,FALSE),"")</f>
        <v/>
      </c>
      <c r="H31" s="31"/>
      <c r="I31" s="128" t="str">
        <f t="shared" ref="I31:I44" si="0">IF($B31="","",IF(10&lt;$A31,IF($A31&lt;18,".002","N/A"),"N/A"))</f>
        <v/>
      </c>
      <c r="J31" s="124"/>
      <c r="K31" s="128" t="str">
        <f>IF($B31="","",IF($A31&gt;=1,IF($A31&lt;=33,VLOOKUP('Primary Operation 7'!$A31,'Construction Sheet'!$A$2:$F$35,5),""),""))</f>
        <v/>
      </c>
      <c r="L31" s="124"/>
      <c r="M31" s="128" t="str">
        <f>IF($B31="","",IF($A31&gt;=1,IF($A31&lt;=33,VLOOKUP('Primary Operation 7'!$A31,'Construction Sheet'!$A$2:$F$35,6),""),""))</f>
        <v/>
      </c>
      <c r="N31" s="124"/>
      <c r="O31" s="30"/>
      <c r="P31" s="122"/>
      <c r="Q31" s="123"/>
      <c r="R31" s="123"/>
      <c r="S31" s="124"/>
      <c r="T31" s="31"/>
      <c r="U31" s="31"/>
      <c r="V31" s="31"/>
      <c r="W31" s="31"/>
      <c r="X31" s="15"/>
      <c r="Y31" s="14"/>
      <c r="Z31" s="14"/>
      <c r="AA31" s="14"/>
      <c r="AB31" s="14"/>
      <c r="AC31" s="14"/>
      <c r="AD31" s="16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3"/>
      <c r="B32" s="199" t="str">
        <f>_xlfn.IFNA(VLOOKUP(A32,'Construction Sheet'!$A$3:$D$50,2,FALSE), "")</f>
        <v/>
      </c>
      <c r="C32" s="200"/>
      <c r="D32" s="200"/>
      <c r="E32" s="200"/>
      <c r="F32" s="201"/>
      <c r="G32" s="33" t="str">
        <f>_xlfn.IFNA(VLOOKUP(A32,'Construction Sheet'!$A$3:$D$50,3,FALSE),"")</f>
        <v/>
      </c>
      <c r="H32" s="33"/>
      <c r="I32" s="127" t="str">
        <f t="shared" si="0"/>
        <v/>
      </c>
      <c r="J32" s="121"/>
      <c r="K32" s="127" t="str">
        <f>IF($B32="","",IF($A32&gt;=1,IF($A32&lt;=33,VLOOKUP('Primary Operation 7'!$A32,'Construction Sheet'!$A$2:$F$35,5),""),""))</f>
        <v/>
      </c>
      <c r="L32" s="121"/>
      <c r="M32" s="127" t="str">
        <f>IF($B32="","",IF($A32&gt;=1,IF($A32&lt;=33,VLOOKUP('Primary Operation 7'!$A32,'Construction Sheet'!$A$2:$F$35,6),""),""))</f>
        <v/>
      </c>
      <c r="N32" s="121"/>
      <c r="O32" s="32"/>
      <c r="P32" s="119"/>
      <c r="Q32" s="120"/>
      <c r="R32" s="120"/>
      <c r="S32" s="121"/>
      <c r="T32" s="33"/>
      <c r="U32" s="33"/>
      <c r="V32" s="33"/>
      <c r="W32" s="33"/>
      <c r="X32" s="15"/>
      <c r="Y32" s="14"/>
      <c r="Z32" s="14"/>
      <c r="AA32" s="14"/>
      <c r="AB32" s="14"/>
      <c r="AC32" s="14"/>
      <c r="AD32" s="16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/>
      <c r="B33" s="205" t="str">
        <f>_xlfn.IFNA(VLOOKUP(A33,'Construction Sheet'!$A$3:$D$50,2,FALSE), "")</f>
        <v/>
      </c>
      <c r="C33" s="206"/>
      <c r="D33" s="206"/>
      <c r="E33" s="206"/>
      <c r="F33" s="207"/>
      <c r="G33" s="31" t="str">
        <f>_xlfn.IFNA(VLOOKUP(A33,'Construction Sheet'!$A$3:$D$50,3,FALSE),"")</f>
        <v/>
      </c>
      <c r="H33" s="31"/>
      <c r="I33" s="128" t="str">
        <f t="shared" si="0"/>
        <v/>
      </c>
      <c r="J33" s="124"/>
      <c r="K33" s="128" t="str">
        <f>IF($B33="","",IF($A33&gt;=1,IF($A33&lt;=33,VLOOKUP('Primary Operation 7'!$A33,'Construction Sheet'!$A$2:$F$35,5),""),""))</f>
        <v/>
      </c>
      <c r="L33" s="124"/>
      <c r="M33" s="128" t="str">
        <f>IF($B33="","",IF($A33&gt;=1,IF($A33&lt;=33,VLOOKUP('Primary Operation 7'!$A33,'Construction Sheet'!$A$2:$F$35,6),""),""))</f>
        <v/>
      </c>
      <c r="N33" s="124"/>
      <c r="O33" s="30"/>
      <c r="P33" s="122"/>
      <c r="Q33" s="123"/>
      <c r="R33" s="123"/>
      <c r="S33" s="124"/>
      <c r="T33" s="31"/>
      <c r="U33" s="31"/>
      <c r="V33" s="31"/>
      <c r="W33" s="31"/>
      <c r="X33" s="15"/>
      <c r="Y33" s="14"/>
      <c r="Z33" s="14"/>
      <c r="AA33" s="14"/>
      <c r="AB33" s="14"/>
      <c r="AC33" s="14"/>
      <c r="AD33" s="16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3"/>
      <c r="B34" s="199" t="str">
        <f>_xlfn.IFNA(VLOOKUP(A34,'Construction Sheet'!$A$3:$D$50,2,FALSE), "")</f>
        <v/>
      </c>
      <c r="C34" s="200"/>
      <c r="D34" s="200"/>
      <c r="E34" s="200"/>
      <c r="F34" s="201"/>
      <c r="G34" s="33" t="str">
        <f>_xlfn.IFNA(VLOOKUP(A34,'Construction Sheet'!$A$3:$D$50,3,FALSE),"")</f>
        <v/>
      </c>
      <c r="H34" s="33"/>
      <c r="I34" s="127" t="str">
        <f t="shared" si="0"/>
        <v/>
      </c>
      <c r="J34" s="121"/>
      <c r="K34" s="127" t="str">
        <f>IF($B34="","",IF($A34&gt;=1,IF($A34&lt;=33,VLOOKUP('Primary Operation 7'!$A34,'Construction Sheet'!$A$2:$F$35,5),""),""))</f>
        <v/>
      </c>
      <c r="L34" s="121"/>
      <c r="M34" s="127" t="str">
        <f>IF($B34="","",IF($A34&gt;=1,IF($A34&lt;=33,VLOOKUP('Primary Operation 7'!$A34,'Construction Sheet'!$A$2:$F$35,6),""),""))</f>
        <v/>
      </c>
      <c r="N34" s="121"/>
      <c r="O34" s="32"/>
      <c r="P34" s="119"/>
      <c r="Q34" s="120"/>
      <c r="R34" s="120"/>
      <c r="S34" s="121"/>
      <c r="T34" s="33"/>
      <c r="U34" s="33"/>
      <c r="V34" s="33"/>
      <c r="W34" s="33"/>
      <c r="X34" s="15"/>
      <c r="Y34" s="14"/>
      <c r="Z34" s="14"/>
      <c r="AA34" s="14"/>
      <c r="AB34" s="14"/>
      <c r="AC34" s="14"/>
      <c r="AD34" s="16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05" t="str">
        <f>_xlfn.IFNA(VLOOKUP(A35,'Construction Sheet'!$A$3:$D$50,2,FALSE), "")</f>
        <v/>
      </c>
      <c r="C35" s="206"/>
      <c r="D35" s="206"/>
      <c r="E35" s="206"/>
      <c r="F35" s="207"/>
      <c r="G35" s="31" t="str">
        <f>_xlfn.IFNA(VLOOKUP(A35,'Construction Sheet'!$A$3:$D$50,3,FALSE),"")</f>
        <v/>
      </c>
      <c r="H35" s="31"/>
      <c r="I35" s="128" t="str">
        <f t="shared" si="0"/>
        <v/>
      </c>
      <c r="J35" s="124"/>
      <c r="K35" s="128" t="str">
        <f>IF($B35="","",IF($A35&gt;=1,IF($A35&lt;=33,VLOOKUP('Primary Operation 7'!$A35,'Construction Sheet'!$A$2:$F$35,5),""),""))</f>
        <v/>
      </c>
      <c r="L35" s="124"/>
      <c r="M35" s="128" t="str">
        <f>IF($B35="","",IF($A35&gt;=1,IF($A35&lt;=33,VLOOKUP('Primary Operation 7'!$A35,'Construction Sheet'!$A$2:$F$35,6),""),""))</f>
        <v/>
      </c>
      <c r="N35" s="124"/>
      <c r="O35" s="30"/>
      <c r="P35" s="122"/>
      <c r="Q35" s="123"/>
      <c r="R35" s="123"/>
      <c r="S35" s="124"/>
      <c r="T35" s="31"/>
      <c r="U35" s="31"/>
      <c r="V35" s="31"/>
      <c r="W35" s="31"/>
      <c r="X35" s="15"/>
      <c r="Y35" s="14"/>
      <c r="Z35" s="14"/>
      <c r="AA35" s="14"/>
      <c r="AB35" s="14"/>
      <c r="AC35" s="14"/>
      <c r="AD35" s="16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3"/>
      <c r="B36" s="199" t="str">
        <f>_xlfn.IFNA(VLOOKUP(A36,'Construction Sheet'!$A$3:$D$50,2,FALSE), "")</f>
        <v/>
      </c>
      <c r="C36" s="200"/>
      <c r="D36" s="200"/>
      <c r="E36" s="200"/>
      <c r="F36" s="201"/>
      <c r="G36" s="33" t="str">
        <f>_xlfn.IFNA(VLOOKUP(A36,'Construction Sheet'!$A$3:$D$50,3,FALSE),"")</f>
        <v/>
      </c>
      <c r="H36" s="33"/>
      <c r="I36" s="127" t="str">
        <f t="shared" si="0"/>
        <v/>
      </c>
      <c r="J36" s="121"/>
      <c r="K36" s="127" t="str">
        <f>IF($B36="","",IF($A36&gt;=1,IF($A36&lt;=33,VLOOKUP('Primary Operation 7'!$A36,'Construction Sheet'!$A$2:$F$35,5),""),""))</f>
        <v/>
      </c>
      <c r="L36" s="121"/>
      <c r="M36" s="127" t="str">
        <f>IF($B36="","",IF($A36&gt;=1,IF($A36&lt;=33,VLOOKUP('Primary Operation 7'!$A36,'Construction Sheet'!$A$2:$F$35,6),""),""))</f>
        <v/>
      </c>
      <c r="N36" s="121"/>
      <c r="O36" s="32"/>
      <c r="P36" s="119"/>
      <c r="Q36" s="120"/>
      <c r="R36" s="120"/>
      <c r="S36" s="121"/>
      <c r="T36" s="33"/>
      <c r="U36" s="33"/>
      <c r="V36" s="33"/>
      <c r="W36" s="33"/>
      <c r="X36" s="15"/>
      <c r="Y36" s="14"/>
      <c r="Z36" s="14"/>
      <c r="AA36" s="14"/>
      <c r="AB36" s="14"/>
      <c r="AC36" s="14"/>
      <c r="AD36" s="16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05" t="str">
        <f>_xlfn.IFNA(VLOOKUP(A37,'Construction Sheet'!$A$3:$D$50,2,FALSE), "")</f>
        <v/>
      </c>
      <c r="C37" s="206"/>
      <c r="D37" s="206"/>
      <c r="E37" s="206"/>
      <c r="F37" s="207"/>
      <c r="G37" s="31" t="str">
        <f>_xlfn.IFNA(VLOOKUP(A37,'Construction Sheet'!$A$3:$D$50,3,FALSE),"")</f>
        <v/>
      </c>
      <c r="H37" s="31"/>
      <c r="I37" s="128" t="str">
        <f t="shared" si="0"/>
        <v/>
      </c>
      <c r="J37" s="124"/>
      <c r="K37" s="128" t="str">
        <f>IF($B37="","",IF($A37&gt;=1,IF($A37&lt;=33,VLOOKUP('Primary Operation 7'!$A37,'Construction Sheet'!$A$2:$F$35,5),""),""))</f>
        <v/>
      </c>
      <c r="L37" s="124"/>
      <c r="M37" s="128" t="str">
        <f>IF($B37="","",IF($A37&gt;=1,IF($A37&lt;=33,VLOOKUP('Primary Operation 7'!$A37,'Construction Sheet'!$A$2:$F$35,6),""),""))</f>
        <v/>
      </c>
      <c r="N37" s="124"/>
      <c r="O37" s="30"/>
      <c r="P37" s="122"/>
      <c r="Q37" s="123"/>
      <c r="R37" s="123"/>
      <c r="S37" s="124"/>
      <c r="T37" s="31"/>
      <c r="U37" s="31"/>
      <c r="V37" s="31"/>
      <c r="W37" s="31"/>
      <c r="X37" s="15"/>
      <c r="Y37" s="14"/>
      <c r="Z37" s="14"/>
      <c r="AA37" s="14"/>
      <c r="AB37" s="14"/>
      <c r="AC37" s="14"/>
      <c r="AD37" s="16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3"/>
      <c r="B38" s="199" t="str">
        <f>_xlfn.IFNA(VLOOKUP(A38,'Construction Sheet'!$A$3:$D$50,2,FALSE), "")</f>
        <v/>
      </c>
      <c r="C38" s="200"/>
      <c r="D38" s="200"/>
      <c r="E38" s="200"/>
      <c r="F38" s="201"/>
      <c r="G38" s="33" t="str">
        <f>_xlfn.IFNA(VLOOKUP(A38,'Construction Sheet'!$A$3:$D$50,3,FALSE),"")</f>
        <v/>
      </c>
      <c r="H38" s="33"/>
      <c r="I38" s="127" t="str">
        <f t="shared" si="0"/>
        <v/>
      </c>
      <c r="J38" s="121"/>
      <c r="K38" s="127" t="str">
        <f>IF($B38="","",IF($A38&gt;=1,IF($A38&lt;=33,VLOOKUP('Primary Operation 7'!$A38,'Construction Sheet'!$A$2:$F$35,5),""),""))</f>
        <v/>
      </c>
      <c r="L38" s="121"/>
      <c r="M38" s="127" t="str">
        <f>IF($B38="","",IF($A38&gt;=1,IF($A38&lt;=33,VLOOKUP('Primary Operation 7'!$A38,'Construction Sheet'!$A$2:$F$35,6),""),""))</f>
        <v/>
      </c>
      <c r="N38" s="121"/>
      <c r="O38" s="32"/>
      <c r="P38" s="119"/>
      <c r="Q38" s="120"/>
      <c r="R38" s="120"/>
      <c r="S38" s="121"/>
      <c r="T38" s="33"/>
      <c r="U38" s="33"/>
      <c r="V38" s="33"/>
      <c r="W38" s="33"/>
      <c r="X38" s="15"/>
      <c r="Y38" s="14"/>
      <c r="Z38" s="14"/>
      <c r="AA38" s="14"/>
      <c r="AB38" s="14"/>
      <c r="AC38" s="14"/>
      <c r="AD38" s="16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05" t="str">
        <f>_xlfn.IFNA(VLOOKUP(A39,'Construction Sheet'!$A$3:$D$50,2,FALSE), "")</f>
        <v/>
      </c>
      <c r="C39" s="206"/>
      <c r="D39" s="206"/>
      <c r="E39" s="206"/>
      <c r="F39" s="207"/>
      <c r="G39" s="31" t="str">
        <f>_xlfn.IFNA(VLOOKUP(A39,'Construction Sheet'!$A$3:$D$50,3,FALSE),"")</f>
        <v/>
      </c>
      <c r="H39" s="31"/>
      <c r="I39" s="128" t="str">
        <f t="shared" si="0"/>
        <v/>
      </c>
      <c r="J39" s="124"/>
      <c r="K39" s="128" t="str">
        <f>IF($B39="","",IF($A39&gt;=1,IF($A39&lt;=33,VLOOKUP('Primary Operation 7'!$A39,'Construction Sheet'!$A$2:$F$35,5),""),""))</f>
        <v/>
      </c>
      <c r="L39" s="124"/>
      <c r="M39" s="128" t="str">
        <f>IF($B39="","",IF($A39&gt;=1,IF($A39&lt;=33,VLOOKUP('Primary Operation 7'!$A39,'Construction Sheet'!$A$2:$F$35,6),""),""))</f>
        <v/>
      </c>
      <c r="N39" s="124"/>
      <c r="O39" s="30"/>
      <c r="P39" s="122"/>
      <c r="Q39" s="123"/>
      <c r="R39" s="123"/>
      <c r="S39" s="124"/>
      <c r="T39" s="31"/>
      <c r="U39" s="31"/>
      <c r="V39" s="31"/>
      <c r="W39" s="31"/>
      <c r="X39" s="15"/>
      <c r="Y39" s="14"/>
      <c r="Z39" s="14"/>
      <c r="AA39" s="14"/>
      <c r="AB39" s="14"/>
      <c r="AC39" s="14"/>
      <c r="AD39" s="16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3"/>
      <c r="B40" s="199" t="str">
        <f>_xlfn.IFNA(VLOOKUP(A40,'Construction Sheet'!$A$3:$D$50,2,FALSE), "")</f>
        <v/>
      </c>
      <c r="C40" s="200"/>
      <c r="D40" s="200"/>
      <c r="E40" s="200"/>
      <c r="F40" s="201"/>
      <c r="G40" s="33" t="str">
        <f>_xlfn.IFNA(VLOOKUP(A40,'Construction Sheet'!$A$3:$D$50,3,FALSE),"")</f>
        <v/>
      </c>
      <c r="H40" s="33"/>
      <c r="I40" s="127" t="str">
        <f t="shared" si="0"/>
        <v/>
      </c>
      <c r="J40" s="121"/>
      <c r="K40" s="127" t="str">
        <f>IF($B40="","",IF($A40&gt;=1,IF($A40&lt;=33,VLOOKUP('Primary Operation 7'!$A40,'Construction Sheet'!$A$2:$F$35,5),""),""))</f>
        <v/>
      </c>
      <c r="L40" s="121"/>
      <c r="M40" s="127" t="str">
        <f>IF($B40="","",IF($A40&gt;=1,IF($A40&lt;=33,VLOOKUP('Primary Operation 7'!$A40,'Construction Sheet'!$A$2:$F$35,6),""),""))</f>
        <v/>
      </c>
      <c r="N40" s="121"/>
      <c r="O40" s="32"/>
      <c r="P40" s="119"/>
      <c r="Q40" s="120"/>
      <c r="R40" s="120"/>
      <c r="S40" s="121"/>
      <c r="T40" s="33"/>
      <c r="U40" s="33"/>
      <c r="V40" s="33"/>
      <c r="W40" s="33"/>
      <c r="X40" s="15"/>
      <c r="Y40" s="14"/>
      <c r="Z40" s="14"/>
      <c r="AA40" s="14"/>
      <c r="AB40" s="14"/>
      <c r="AC40" s="14"/>
      <c r="AD40" s="16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31"/>
      <c r="B41" s="205" t="str">
        <f>_xlfn.IFNA(VLOOKUP(A41,'Construction Sheet'!$A$3:$D$50,2,FALSE), "")</f>
        <v/>
      </c>
      <c r="C41" s="206"/>
      <c r="D41" s="206"/>
      <c r="E41" s="206"/>
      <c r="F41" s="207"/>
      <c r="G41" s="31" t="str">
        <f>_xlfn.IFNA(VLOOKUP(A41,'Construction Sheet'!$A$3:$D$50,3,FALSE),"")</f>
        <v/>
      </c>
      <c r="H41" s="31"/>
      <c r="I41" s="128" t="str">
        <f t="shared" si="0"/>
        <v/>
      </c>
      <c r="J41" s="124"/>
      <c r="K41" s="128" t="str">
        <f>IF($B41="","",IF($A41&gt;=1,IF($A41&lt;=33,VLOOKUP('Primary Operation 7'!$A41,'Construction Sheet'!$A$2:$F$35,5),""),""))</f>
        <v/>
      </c>
      <c r="L41" s="124"/>
      <c r="M41" s="128" t="str">
        <f>IF($B41="","",IF($A41&gt;=1,IF($A41&lt;=33,VLOOKUP('Primary Operation 7'!$A41,'Construction Sheet'!$A$2:$F$35,6),""),""))</f>
        <v/>
      </c>
      <c r="N41" s="124"/>
      <c r="O41" s="30"/>
      <c r="P41" s="122"/>
      <c r="Q41" s="123"/>
      <c r="R41" s="123"/>
      <c r="S41" s="124"/>
      <c r="T41" s="31"/>
      <c r="U41" s="31"/>
      <c r="V41" s="31"/>
      <c r="W41" s="31"/>
      <c r="X41" s="15"/>
      <c r="Y41" s="14"/>
      <c r="Z41" s="14"/>
      <c r="AA41" s="14"/>
      <c r="AB41" s="14"/>
      <c r="AC41" s="14"/>
      <c r="AD41" s="16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3"/>
      <c r="B42" s="199" t="str">
        <f>_xlfn.IFNA(VLOOKUP(A42,'Construction Sheet'!$A$3:$D$50,2,FALSE), "")</f>
        <v/>
      </c>
      <c r="C42" s="200"/>
      <c r="D42" s="200"/>
      <c r="E42" s="200"/>
      <c r="F42" s="201"/>
      <c r="G42" s="33" t="str">
        <f>_xlfn.IFNA(VLOOKUP(A42,'Construction Sheet'!$A$3:$D$50,3,FALSE),"")</f>
        <v/>
      </c>
      <c r="H42" s="33"/>
      <c r="I42" s="127" t="str">
        <f t="shared" si="0"/>
        <v/>
      </c>
      <c r="J42" s="121"/>
      <c r="K42" s="127" t="str">
        <f>IF($B42="","",IF($A42&gt;=1,IF($A42&lt;=33,VLOOKUP('Primary Operation 7'!$A42,'Construction Sheet'!$A$2:$F$35,5),""),""))</f>
        <v/>
      </c>
      <c r="L42" s="121"/>
      <c r="M42" s="127" t="str">
        <f>IF($B42="","",IF($A42&gt;=1,IF($A42&lt;=33,VLOOKUP('Primary Operation 7'!$A42,'Construction Sheet'!$A$2:$F$35,6),""),""))</f>
        <v/>
      </c>
      <c r="N42" s="121"/>
      <c r="O42" s="32"/>
      <c r="P42" s="119"/>
      <c r="Q42" s="120"/>
      <c r="R42" s="120"/>
      <c r="S42" s="121"/>
      <c r="T42" s="33"/>
      <c r="U42" s="33"/>
      <c r="V42" s="33"/>
      <c r="W42" s="33"/>
      <c r="X42" s="15"/>
      <c r="Y42" s="14"/>
      <c r="Z42" s="14"/>
      <c r="AA42" s="14"/>
      <c r="AB42" s="14"/>
      <c r="AC42" s="14"/>
      <c r="AD42" s="16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31"/>
      <c r="B43" s="205" t="str">
        <f>_xlfn.IFNA(VLOOKUP(A43,'Construction Sheet'!$A$3:$D$50,2,FALSE), "")</f>
        <v/>
      </c>
      <c r="C43" s="206"/>
      <c r="D43" s="206"/>
      <c r="E43" s="206"/>
      <c r="F43" s="207"/>
      <c r="G43" s="31" t="str">
        <f>_xlfn.IFNA(VLOOKUP(A43,'Construction Sheet'!$A$3:$D$50,3,FALSE),"")</f>
        <v/>
      </c>
      <c r="H43" s="31"/>
      <c r="I43" s="128" t="str">
        <f t="shared" si="0"/>
        <v/>
      </c>
      <c r="J43" s="124"/>
      <c r="K43" s="128" t="str">
        <f>IF($B43="","",IF($A43&gt;=1,IF($A43&lt;=33,VLOOKUP('Primary Operation 7'!$A43,'Construction Sheet'!$A$2:$F$35,5),""),""))</f>
        <v/>
      </c>
      <c r="L43" s="124"/>
      <c r="M43" s="128" t="str">
        <f>IF($B43="","",IF($A43&gt;=1,IF($A43&lt;=33,VLOOKUP('Primary Operation 7'!$A43,'Construction Sheet'!$A$2:$F$35,6),""),""))</f>
        <v/>
      </c>
      <c r="N43" s="124"/>
      <c r="O43" s="30"/>
      <c r="P43" s="122"/>
      <c r="Q43" s="123"/>
      <c r="R43" s="123"/>
      <c r="S43" s="124"/>
      <c r="T43" s="31"/>
      <c r="U43" s="31"/>
      <c r="V43" s="31"/>
      <c r="W43" s="31"/>
      <c r="X43" s="15"/>
      <c r="Y43" s="14"/>
      <c r="Z43" s="14"/>
      <c r="AA43" s="14"/>
      <c r="AB43" s="14"/>
      <c r="AC43" s="14"/>
      <c r="AD43" s="16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ht="15.75" thickBot="1" x14ac:dyDescent="0.3">
      <c r="A44" s="47"/>
      <c r="B44" s="208" t="str">
        <f>_xlfn.IFNA(VLOOKUP(A44,'Construction Sheet'!$A$3:$D$50,2,FALSE), "")</f>
        <v/>
      </c>
      <c r="C44" s="209"/>
      <c r="D44" s="209"/>
      <c r="E44" s="209"/>
      <c r="F44" s="210"/>
      <c r="G44" s="47" t="str">
        <f>_xlfn.IFNA(VLOOKUP(A44,'Construction Sheet'!$A$3:$D$50,3,FALSE),"")</f>
        <v/>
      </c>
      <c r="H44" s="47"/>
      <c r="I44" s="129" t="str">
        <f t="shared" si="0"/>
        <v/>
      </c>
      <c r="J44" s="130"/>
      <c r="K44" s="129" t="str">
        <f>IF($B44="","",IF($A44&gt;=1,IF($A44&lt;=33,VLOOKUP('Primary Operation 7'!$A44,'Construction Sheet'!$A$2:$F$35,5),""),""))</f>
        <v/>
      </c>
      <c r="L44" s="130"/>
      <c r="M44" s="129" t="str">
        <f>IF($B44="","",IF($A44&gt;=1,IF($A44&lt;=33,VLOOKUP('Primary Operation 7'!$A44,'Construction Sheet'!$A$2:$F$35,6),""),""))</f>
        <v/>
      </c>
      <c r="N44" s="130"/>
      <c r="O44" s="48"/>
      <c r="P44" s="131"/>
      <c r="Q44" s="132"/>
      <c r="R44" s="132"/>
      <c r="S44" s="130"/>
      <c r="T44" s="47"/>
      <c r="U44" s="47"/>
      <c r="V44" s="47"/>
      <c r="W44" s="47"/>
      <c r="X44" s="15"/>
      <c r="Y44" s="14"/>
      <c r="Z44" s="14"/>
      <c r="AA44" s="14"/>
      <c r="AB44" s="14"/>
      <c r="AC44" s="14"/>
      <c r="AD44" s="16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ht="15.75" thickBot="1" x14ac:dyDescent="0.3">
      <c r="A45" s="97" t="s">
        <v>53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9"/>
      <c r="T45" s="97" t="s">
        <v>54</v>
      </c>
      <c r="U45" s="99"/>
      <c r="V45" s="98" t="s">
        <v>55</v>
      </c>
      <c r="W45" s="99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</row>
    <row r="46" spans="1:46" ht="15" customHeight="1" x14ac:dyDescent="0.25">
      <c r="A46" s="91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3"/>
      <c r="T46" s="100"/>
      <c r="U46" s="101"/>
      <c r="V46" s="100"/>
      <c r="W46" s="101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</row>
    <row r="47" spans="1:46" ht="15" customHeight="1" x14ac:dyDescent="0.25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3"/>
      <c r="T47" s="100"/>
      <c r="U47" s="101"/>
      <c r="V47" s="100"/>
      <c r="W47" s="101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</row>
    <row r="48" spans="1:46" ht="15" customHeight="1" x14ac:dyDescent="0.25">
      <c r="A48" s="91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3"/>
      <c r="T48" s="100"/>
      <c r="U48" s="101"/>
      <c r="V48" s="100"/>
      <c r="W48" s="101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</row>
    <row r="49" spans="1:46" ht="15.75" customHeight="1" x14ac:dyDescent="0.25">
      <c r="A49" s="91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3"/>
      <c r="T49" s="100"/>
      <c r="U49" s="101"/>
      <c r="V49" s="100"/>
      <c r="W49" s="101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</row>
    <row r="50" spans="1:46" ht="15.75" customHeight="1" x14ac:dyDescent="0.25">
      <c r="A50" s="91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3"/>
      <c r="T50" s="100"/>
      <c r="U50" s="101"/>
      <c r="V50" s="100"/>
      <c r="W50" s="101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</row>
    <row r="51" spans="1:46" ht="15.75" customHeight="1" thickBot="1" x14ac:dyDescent="0.3">
      <c r="A51" s="94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102"/>
      <c r="U51" s="103"/>
      <c r="V51" s="102"/>
      <c r="W51" s="103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</row>
    <row r="52" spans="1:46" x14ac:dyDescent="0.25">
      <c r="A52" s="185" t="s">
        <v>190</v>
      </c>
      <c r="B52" s="185"/>
      <c r="C52" s="185"/>
      <c r="D52" s="78" t="str" cm="1">
        <f t="array" aca="1" ref="D52" ca="1">MID(CELL("filename",A1),FIND("[",CELL("filename",A1))+1,FIND(".xlsm",CELL("filename",A1))-FIND("[",CELL("filename",A1))-1)</f>
        <v>import_test</v>
      </c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 t="str">
        <f>IF(ISBLANK(Cover!D6),"",Cover!D6)</f>
        <v>26-0099</v>
      </c>
      <c r="V52" s="78"/>
      <c r="W52" s="78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</sheetData>
  <sheetProtection selectLockedCells="1"/>
  <mergeCells count="172">
    <mergeCell ref="T45:U45"/>
    <mergeCell ref="V45:W45"/>
    <mergeCell ref="A46:S51"/>
    <mergeCell ref="T46:U51"/>
    <mergeCell ref="V46:W51"/>
    <mergeCell ref="A52:C52"/>
    <mergeCell ref="D52:T52"/>
    <mergeCell ref="U52:W52"/>
    <mergeCell ref="B44:F44"/>
    <mergeCell ref="I44:J44"/>
    <mergeCell ref="K44:L44"/>
    <mergeCell ref="M44:N44"/>
    <mergeCell ref="P44:S44"/>
    <mergeCell ref="A45:S45"/>
    <mergeCell ref="B42:F42"/>
    <mergeCell ref="I42:J42"/>
    <mergeCell ref="K42:L42"/>
    <mergeCell ref="M42:N42"/>
    <mergeCell ref="P42:S42"/>
    <mergeCell ref="B43:F43"/>
    <mergeCell ref="I43:J43"/>
    <mergeCell ref="K43:L43"/>
    <mergeCell ref="M43:N43"/>
    <mergeCell ref="P43:S43"/>
    <mergeCell ref="B40:F40"/>
    <mergeCell ref="I40:J40"/>
    <mergeCell ref="K40:L40"/>
    <mergeCell ref="M40:N40"/>
    <mergeCell ref="P40:S40"/>
    <mergeCell ref="B41:F41"/>
    <mergeCell ref="I41:J41"/>
    <mergeCell ref="K41:L41"/>
    <mergeCell ref="M41:N41"/>
    <mergeCell ref="P41:S41"/>
    <mergeCell ref="B38:F38"/>
    <mergeCell ref="I38:J38"/>
    <mergeCell ref="K38:L38"/>
    <mergeCell ref="M38:N38"/>
    <mergeCell ref="P38:S38"/>
    <mergeCell ref="B39:F39"/>
    <mergeCell ref="I39:J39"/>
    <mergeCell ref="K39:L39"/>
    <mergeCell ref="M39:N39"/>
    <mergeCell ref="P39:S39"/>
    <mergeCell ref="B36:F36"/>
    <mergeCell ref="I36:J36"/>
    <mergeCell ref="K36:L36"/>
    <mergeCell ref="M36:N36"/>
    <mergeCell ref="P36:S36"/>
    <mergeCell ref="B37:F37"/>
    <mergeCell ref="I37:J37"/>
    <mergeCell ref="K37:L37"/>
    <mergeCell ref="M37:N37"/>
    <mergeCell ref="P37:S37"/>
    <mergeCell ref="B34:F34"/>
    <mergeCell ref="I34:J34"/>
    <mergeCell ref="K34:L34"/>
    <mergeCell ref="M34:N34"/>
    <mergeCell ref="P34:S34"/>
    <mergeCell ref="B35:F35"/>
    <mergeCell ref="I35:J35"/>
    <mergeCell ref="K35:L35"/>
    <mergeCell ref="M35:N35"/>
    <mergeCell ref="P35:S35"/>
    <mergeCell ref="B32:F32"/>
    <mergeCell ref="I32:J32"/>
    <mergeCell ref="K32:L32"/>
    <mergeCell ref="M32:N32"/>
    <mergeCell ref="P32:S32"/>
    <mergeCell ref="B33:F33"/>
    <mergeCell ref="I33:J33"/>
    <mergeCell ref="K33:L33"/>
    <mergeCell ref="M33:N33"/>
    <mergeCell ref="P33:S33"/>
    <mergeCell ref="B30:F30"/>
    <mergeCell ref="I30:J30"/>
    <mergeCell ref="K30:L30"/>
    <mergeCell ref="M30:N30"/>
    <mergeCell ref="P30:S30"/>
    <mergeCell ref="B31:F31"/>
    <mergeCell ref="I31:J31"/>
    <mergeCell ref="K31:L31"/>
    <mergeCell ref="M31:N31"/>
    <mergeCell ref="P31:S31"/>
    <mergeCell ref="A28:O28"/>
    <mergeCell ref="P28:W28"/>
    <mergeCell ref="B29:F29"/>
    <mergeCell ref="I29:J29"/>
    <mergeCell ref="K29:L29"/>
    <mergeCell ref="M29:N29"/>
    <mergeCell ref="P29:S29"/>
    <mergeCell ref="B26:F26"/>
    <mergeCell ref="H26:I26"/>
    <mergeCell ref="J26:K26"/>
    <mergeCell ref="M26:W27"/>
    <mergeCell ref="B27:F27"/>
    <mergeCell ref="H27:I27"/>
    <mergeCell ref="J27:K27"/>
    <mergeCell ref="B24:F24"/>
    <mergeCell ref="H24:I24"/>
    <mergeCell ref="J24:K24"/>
    <mergeCell ref="B25:F25"/>
    <mergeCell ref="H25:I25"/>
    <mergeCell ref="J25:K25"/>
    <mergeCell ref="A21:J21"/>
    <mergeCell ref="B22:F22"/>
    <mergeCell ref="H22:I22"/>
    <mergeCell ref="J22:K22"/>
    <mergeCell ref="B23:F23"/>
    <mergeCell ref="H23:I23"/>
    <mergeCell ref="J23:K23"/>
    <mergeCell ref="A19:B19"/>
    <mergeCell ref="C19:I19"/>
    <mergeCell ref="J19:K19"/>
    <mergeCell ref="A20:B20"/>
    <mergeCell ref="C20:I20"/>
    <mergeCell ref="J20:K20"/>
    <mergeCell ref="A17:B17"/>
    <mergeCell ref="C17:I17"/>
    <mergeCell ref="J17:K17"/>
    <mergeCell ref="A18:B18"/>
    <mergeCell ref="C18:I18"/>
    <mergeCell ref="J18:K18"/>
    <mergeCell ref="A14:L14"/>
    <mergeCell ref="A15:B15"/>
    <mergeCell ref="C15:I15"/>
    <mergeCell ref="J15:K15"/>
    <mergeCell ref="A16:B16"/>
    <mergeCell ref="C16:I16"/>
    <mergeCell ref="J16:K16"/>
    <mergeCell ref="B12:D12"/>
    <mergeCell ref="E12:H12"/>
    <mergeCell ref="I12:J12"/>
    <mergeCell ref="K12:L12"/>
    <mergeCell ref="B13:D13"/>
    <mergeCell ref="E13:F13"/>
    <mergeCell ref="G13:L13"/>
    <mergeCell ref="E11:H11"/>
    <mergeCell ref="I11:J11"/>
    <mergeCell ref="K11:L11"/>
    <mergeCell ref="B8:D8"/>
    <mergeCell ref="E8:H8"/>
    <mergeCell ref="I8:J8"/>
    <mergeCell ref="K8:L8"/>
    <mergeCell ref="B9:D9"/>
    <mergeCell ref="E9:H9"/>
    <mergeCell ref="I9:J9"/>
    <mergeCell ref="K9:L9"/>
    <mergeCell ref="A1:W2"/>
    <mergeCell ref="A3:L3"/>
    <mergeCell ref="M3:W3"/>
    <mergeCell ref="A4:B4"/>
    <mergeCell ref="C4:F4"/>
    <mergeCell ref="G4:H4"/>
    <mergeCell ref="I4:J4"/>
    <mergeCell ref="K4:L4"/>
    <mergeCell ref="M4:W25"/>
    <mergeCell ref="A5:B5"/>
    <mergeCell ref="C5:F5"/>
    <mergeCell ref="G5:H5"/>
    <mergeCell ref="I5:J5"/>
    <mergeCell ref="K5:L5"/>
    <mergeCell ref="A6:L6"/>
    <mergeCell ref="B7:D7"/>
    <mergeCell ref="E7:H7"/>
    <mergeCell ref="I7:J7"/>
    <mergeCell ref="K7:L7"/>
    <mergeCell ref="B10:D10"/>
    <mergeCell ref="E10:H10"/>
    <mergeCell ref="I10:J10"/>
    <mergeCell ref="K10:L10"/>
    <mergeCell ref="B11:D11"/>
  </mergeCells>
  <conditionalFormatting sqref="I30:I44">
    <cfRule type="notContainsText" dxfId="12" priority="5" operator="notContains" text="N/A">
      <formula>ISERROR(SEARCH("N/A",I30))</formula>
    </cfRule>
  </conditionalFormatting>
  <conditionalFormatting sqref="G30:G44">
    <cfRule type="expression" dxfId="11" priority="1">
      <formula>AND(IF($A30&gt;10,1),IF($A30&lt;18,1),IF($G30=".015",1))</formula>
    </cfRule>
    <cfRule type="expression" dxfId="10" priority="4">
      <formula>AND(IF($A30&gt;10,1),IF($A30&lt;18,1),IF($G30=".015r",1))</formula>
    </cfRule>
  </conditionalFormatting>
  <conditionalFormatting sqref="T46 V46">
    <cfRule type="notContainsText" dxfId="9" priority="2" operator="notContains" text="N/A">
      <formula>ISERROR(SEARCH("N/A",T46))</formula>
    </cfRule>
    <cfRule type="containsText" dxfId="8" priority="3" operator="containsText" text="N/A">
      <formula>NOT(ISERROR(SEARCH("N/A",T46)))</formula>
    </cfRule>
  </conditionalFormatting>
  <pageMargins left="0" right="0" top="0" bottom="0" header="0.3" footer="0.3"/>
  <pageSetup paperSize="17" orientation="landscape" r:id="rId1"/>
  <ignoredErrors>
    <ignoredError sqref="A4:W4 A6:W44 A5:H5 K5:W5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700-000000000000}">
          <x14:formula1>
            <xm:f>'Construction Sheet'!$M$2:$M$3</xm:f>
          </x14:formula1>
          <xm:sqref>B11:D11</xm:sqref>
        </x14:dataValidation>
        <x14:dataValidation type="list" allowBlank="1" xr:uid="{00000000-0002-0000-0700-000001000000}">
          <x14:formula1>
            <xm:f>'Construction Sheet'!$N$2</xm:f>
          </x14:formula1>
          <xm:sqref>B12:D12</xm:sqref>
        </x14:dataValidation>
        <x14:dataValidation type="list" allowBlank="1" showInputMessage="1" xr:uid="{00000000-0002-0000-0700-000002000000}">
          <x14:formula1>
            <xm:f>'Construction Sheet'!$I$32:$I$36</xm:f>
          </x14:formula1>
          <xm:sqref>M30:N44</xm:sqref>
        </x14:dataValidation>
        <x14:dataValidation type="list" allowBlank="1" showInputMessage="1" xr:uid="{00000000-0002-0000-0700-000003000000}">
          <x14:formula1>
            <xm:f>'Construction Sheet'!$H$32:$H$38</xm:f>
          </x14:formula1>
          <xm:sqref>K30:L44</xm:sqref>
        </x14:dataValidation>
        <x14:dataValidation type="list" allowBlank="1" showInputMessage="1" xr:uid="{00000000-0002-0000-0700-000004000000}">
          <x14:formula1>
            <xm:f>'Construction Sheet'!$K$28</xm:f>
          </x14:formula1>
          <xm:sqref>I5:J5</xm:sqref>
        </x14:dataValidation>
        <x14:dataValidation type="list" allowBlank="1" xr:uid="{00000000-0002-0000-0700-000005000000}">
          <x14:formula1>
            <xm:f>'Construction Sheet'!$H$2:$H$5</xm:f>
          </x14:formula1>
          <xm:sqref>A5:B5</xm:sqref>
        </x14:dataValidation>
        <x14:dataValidation type="list" allowBlank="1" xr:uid="{00000000-0002-0000-0700-000006000000}">
          <x14:formula1>
            <xm:f>'Construction Sheet'!$L$2:$L$4</xm:f>
          </x14:formula1>
          <xm:sqref>B10</xm:sqref>
        </x14:dataValidation>
        <x14:dataValidation type="list" allowBlank="1" xr:uid="{00000000-0002-0000-0700-000007000000}">
          <x14:formula1>
            <xm:f>'Construction Sheet'!$K$2:$K$3</xm:f>
          </x14:formula1>
          <xm:sqref>B8:B9</xm:sqref>
        </x14:dataValidation>
        <x14:dataValidation type="list" allowBlank="1" xr:uid="{00000000-0002-0000-0700-000008000000}">
          <x14:formula1>
            <xm:f>'Construction Sheet'!$I$2:$I$5</xm:f>
          </x14:formula1>
          <xm:sqref>G5</xm:sqref>
        </x14:dataValidation>
        <x14:dataValidation type="list" allowBlank="1" xr:uid="{00000000-0002-0000-0700-000009000000}">
          <x14:formula1>
            <xm:f>'Construction Sheet'!$G$2:$G$4</xm:f>
          </x14:formula1>
          <xm:sqref>B13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1"/>
  </sheetPr>
  <dimension ref="A1:AT52"/>
  <sheetViews>
    <sheetView view="pageLayout" zoomScaleNormal="100" workbookViewId="0">
      <selection activeCell="K34" sqref="K34:L34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46" ht="12.75" customHeight="1" x14ac:dyDescent="0.25">
      <c r="A1" s="138" t="s">
        <v>62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5" customHeight="1" thickBot="1" x14ac:dyDescent="0.3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5.75" thickBot="1" x14ac:dyDescent="0.3">
      <c r="A3" s="165" t="s">
        <v>12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5"/>
      <c r="M3" s="165" t="s">
        <v>13</v>
      </c>
      <c r="N3" s="134"/>
      <c r="O3" s="134"/>
      <c r="P3" s="134"/>
      <c r="Q3" s="134"/>
      <c r="R3" s="134"/>
      <c r="S3" s="134"/>
      <c r="T3" s="134"/>
      <c r="U3" s="134"/>
      <c r="V3" s="134"/>
      <c r="W3" s="135"/>
      <c r="X3" s="12"/>
      <c r="Y3" s="13"/>
      <c r="Z3" s="13"/>
      <c r="AA3" s="13"/>
      <c r="AB3" s="13"/>
      <c r="AC3" s="13"/>
      <c r="AD3" s="12"/>
      <c r="AE3" s="13"/>
      <c r="AF3" s="13"/>
      <c r="AG3" s="13"/>
      <c r="AH3" s="13"/>
      <c r="AI3" s="13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8" t="s">
        <v>14</v>
      </c>
      <c r="B4" s="184"/>
      <c r="C4" s="148" t="s">
        <v>15</v>
      </c>
      <c r="D4" s="184"/>
      <c r="E4" s="184"/>
      <c r="F4" s="149"/>
      <c r="G4" s="148" t="s">
        <v>16</v>
      </c>
      <c r="H4" s="149"/>
      <c r="I4" s="148" t="s">
        <v>17</v>
      </c>
      <c r="J4" s="149"/>
      <c r="K4" s="148" t="s">
        <v>18</v>
      </c>
      <c r="L4" s="184"/>
      <c r="M4" s="178"/>
      <c r="N4" s="179"/>
      <c r="O4" s="179"/>
      <c r="P4" s="179"/>
      <c r="Q4" s="179"/>
      <c r="R4" s="179"/>
      <c r="S4" s="179"/>
      <c r="T4" s="179"/>
      <c r="U4" s="179"/>
      <c r="V4" s="179"/>
      <c r="W4" s="180"/>
      <c r="X4" s="15"/>
      <c r="Y4" s="14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.75" thickBot="1" x14ac:dyDescent="0.3">
      <c r="A5" s="160"/>
      <c r="B5" s="161"/>
      <c r="C5" s="157"/>
      <c r="D5" s="158"/>
      <c r="E5" s="158"/>
      <c r="F5" s="159"/>
      <c r="G5" s="160"/>
      <c r="H5" s="161"/>
      <c r="I5" s="160"/>
      <c r="J5" s="161"/>
      <c r="K5" s="160"/>
      <c r="L5" s="164"/>
      <c r="M5" s="181"/>
      <c r="N5" s="182"/>
      <c r="O5" s="182"/>
      <c r="P5" s="182"/>
      <c r="Q5" s="182"/>
      <c r="R5" s="182"/>
      <c r="S5" s="182"/>
      <c r="T5" s="182"/>
      <c r="U5" s="182"/>
      <c r="V5" s="182"/>
      <c r="W5" s="183"/>
      <c r="X5" s="15"/>
      <c r="Y5" s="14"/>
      <c r="Z5" s="14"/>
      <c r="AA5" s="14"/>
      <c r="AB5" s="14"/>
      <c r="AC5" s="14"/>
      <c r="AD5" s="16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ht="15.75" thickBot="1" x14ac:dyDescent="0.3">
      <c r="A6" s="162" t="s">
        <v>19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81"/>
      <c r="N6" s="182"/>
      <c r="O6" s="182"/>
      <c r="P6" s="182"/>
      <c r="Q6" s="182"/>
      <c r="R6" s="182"/>
      <c r="S6" s="182"/>
      <c r="T6" s="182"/>
      <c r="U6" s="182"/>
      <c r="V6" s="182"/>
      <c r="W6" s="183"/>
      <c r="X6" s="15"/>
      <c r="Y6" s="14"/>
      <c r="Z6" s="14"/>
      <c r="AA6" s="14"/>
      <c r="AB6" s="14"/>
      <c r="AC6" s="14"/>
      <c r="AD6" s="16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ht="15.75" thickBot="1" x14ac:dyDescent="0.3">
      <c r="A7" s="7" t="s">
        <v>20</v>
      </c>
      <c r="B7" s="140" t="s">
        <v>21</v>
      </c>
      <c r="C7" s="150"/>
      <c r="D7" s="141"/>
      <c r="E7" s="140" t="s">
        <v>22</v>
      </c>
      <c r="F7" s="150"/>
      <c r="G7" s="150"/>
      <c r="H7" s="141"/>
      <c r="I7" s="140" t="s">
        <v>23</v>
      </c>
      <c r="J7" s="141"/>
      <c r="K7" s="140" t="s">
        <v>24</v>
      </c>
      <c r="L7" s="150"/>
      <c r="M7" s="181"/>
      <c r="N7" s="182"/>
      <c r="O7" s="182"/>
      <c r="P7" s="182"/>
      <c r="Q7" s="182"/>
      <c r="R7" s="182"/>
      <c r="S7" s="182"/>
      <c r="T7" s="182"/>
      <c r="U7" s="182"/>
      <c r="V7" s="182"/>
      <c r="W7" s="183"/>
      <c r="X7" s="15"/>
      <c r="Y7" s="14"/>
      <c r="Z7" s="14"/>
      <c r="AA7" s="14"/>
      <c r="AB7" s="14"/>
      <c r="AC7" s="14"/>
      <c r="AD7" s="16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24" t="s">
        <v>25</v>
      </c>
      <c r="B8" s="175"/>
      <c r="C8" s="176"/>
      <c r="D8" s="177"/>
      <c r="E8" s="142"/>
      <c r="F8" s="151"/>
      <c r="G8" s="151"/>
      <c r="H8" s="143"/>
      <c r="I8" s="142"/>
      <c r="J8" s="173"/>
      <c r="K8" s="172"/>
      <c r="L8" s="143"/>
      <c r="M8" s="181"/>
      <c r="N8" s="182"/>
      <c r="O8" s="182"/>
      <c r="P8" s="182"/>
      <c r="Q8" s="182"/>
      <c r="R8" s="182"/>
      <c r="S8" s="182"/>
      <c r="T8" s="182"/>
      <c r="U8" s="182"/>
      <c r="V8" s="182"/>
      <c r="W8" s="183"/>
      <c r="X8" s="15"/>
      <c r="Y8" s="14"/>
      <c r="Z8" s="14"/>
      <c r="AA8" s="14"/>
      <c r="AB8" s="14"/>
      <c r="AC8" s="14"/>
      <c r="AD8" s="16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3" t="s">
        <v>26</v>
      </c>
      <c r="B9" s="128"/>
      <c r="C9" s="123"/>
      <c r="D9" s="124"/>
      <c r="E9" s="144"/>
      <c r="F9" s="152"/>
      <c r="G9" s="152"/>
      <c r="H9" s="145"/>
      <c r="I9" s="144"/>
      <c r="J9" s="174"/>
      <c r="K9" s="156"/>
      <c r="L9" s="145"/>
      <c r="M9" s="181"/>
      <c r="N9" s="182"/>
      <c r="O9" s="182"/>
      <c r="P9" s="182"/>
      <c r="Q9" s="182"/>
      <c r="R9" s="182"/>
      <c r="S9" s="182"/>
      <c r="T9" s="182"/>
      <c r="U9" s="182"/>
      <c r="V9" s="182"/>
      <c r="W9" s="183"/>
      <c r="X9" s="15"/>
      <c r="Y9" s="14"/>
      <c r="Z9" s="14"/>
      <c r="AA9" s="14"/>
      <c r="AB9" s="14"/>
      <c r="AC9" s="14"/>
      <c r="AD9" s="16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8" t="s">
        <v>27</v>
      </c>
      <c r="B10" s="127"/>
      <c r="C10" s="120"/>
      <c r="D10" s="121"/>
      <c r="E10" s="146"/>
      <c r="F10" s="153"/>
      <c r="G10" s="153"/>
      <c r="H10" s="147"/>
      <c r="I10" s="146"/>
      <c r="J10" s="188"/>
      <c r="K10" s="189"/>
      <c r="L10" s="147"/>
      <c r="M10" s="181"/>
      <c r="N10" s="182"/>
      <c r="O10" s="182"/>
      <c r="P10" s="182"/>
      <c r="Q10" s="182"/>
      <c r="R10" s="182"/>
      <c r="S10" s="182"/>
      <c r="T10" s="182"/>
      <c r="U10" s="182"/>
      <c r="V10" s="182"/>
      <c r="W10" s="183"/>
      <c r="X10" s="15"/>
      <c r="Y10" s="14"/>
      <c r="Z10" s="14"/>
      <c r="AA10" s="14"/>
      <c r="AB10" s="14"/>
      <c r="AC10" s="14"/>
      <c r="AD10" s="16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3" t="s">
        <v>28</v>
      </c>
      <c r="B11" s="128" t="str" cm="1">
        <f t="array" ref="B11">_xlfn.IFS(G5="VMC","N/A",G5="HBMX","",G5="Lathe","N/A",G5="VMC / Rotary A","",G5="","")</f>
        <v/>
      </c>
      <c r="C11" s="123"/>
      <c r="D11" s="124"/>
      <c r="E11" s="144"/>
      <c r="F11" s="152"/>
      <c r="G11" s="152"/>
      <c r="H11" s="145"/>
      <c r="I11" s="144"/>
      <c r="J11" s="174"/>
      <c r="K11" s="156"/>
      <c r="L11" s="145"/>
      <c r="M11" s="181"/>
      <c r="N11" s="182"/>
      <c r="O11" s="182"/>
      <c r="P11" s="182"/>
      <c r="Q11" s="182"/>
      <c r="R11" s="182"/>
      <c r="S11" s="182"/>
      <c r="T11" s="182"/>
      <c r="U11" s="182"/>
      <c r="V11" s="182"/>
      <c r="W11" s="183"/>
      <c r="X11" s="15"/>
      <c r="Y11" s="14"/>
      <c r="Z11" s="14"/>
      <c r="AA11" s="14"/>
      <c r="AB11" s="14"/>
      <c r="AC11" s="14"/>
      <c r="AD11" s="16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ht="15.75" thickBot="1" x14ac:dyDescent="0.3">
      <c r="A12" s="25" t="s">
        <v>29</v>
      </c>
      <c r="B12" s="191" t="str" cm="1">
        <f t="array" ref="B12">_xlfn.IFS(G5="VMC","N/A",G5="HBMX","",G5="Lathe","N/A",G5="VMC / Rotary A","N/A",G5="","")</f>
        <v/>
      </c>
      <c r="C12" s="192"/>
      <c r="D12" s="193"/>
      <c r="E12" s="186"/>
      <c r="F12" s="190"/>
      <c r="G12" s="190"/>
      <c r="H12" s="155"/>
      <c r="I12" s="186"/>
      <c r="J12" s="187"/>
      <c r="K12" s="154"/>
      <c r="L12" s="155"/>
      <c r="M12" s="181"/>
      <c r="N12" s="182"/>
      <c r="O12" s="182"/>
      <c r="P12" s="182"/>
      <c r="Q12" s="182"/>
      <c r="R12" s="182"/>
      <c r="S12" s="182"/>
      <c r="T12" s="182"/>
      <c r="U12" s="182"/>
      <c r="V12" s="182"/>
      <c r="W12" s="183"/>
      <c r="X12" s="15"/>
      <c r="Y12" s="14"/>
      <c r="Z12" s="14"/>
      <c r="AA12" s="14"/>
      <c r="AB12" s="14"/>
      <c r="AC12" s="14"/>
      <c r="AD12" s="16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ht="15.75" thickBot="1" x14ac:dyDescent="0.3">
      <c r="A13" s="7" t="s">
        <v>30</v>
      </c>
      <c r="B13" s="194"/>
      <c r="C13" s="195"/>
      <c r="D13" s="204"/>
      <c r="E13" s="202" t="s">
        <v>31</v>
      </c>
      <c r="F13" s="203"/>
      <c r="G13" s="194"/>
      <c r="H13" s="195"/>
      <c r="I13" s="195"/>
      <c r="J13" s="195"/>
      <c r="K13" s="195"/>
      <c r="L13" s="195"/>
      <c r="M13" s="181"/>
      <c r="N13" s="182"/>
      <c r="O13" s="182"/>
      <c r="P13" s="182"/>
      <c r="Q13" s="182"/>
      <c r="R13" s="182"/>
      <c r="S13" s="182"/>
      <c r="T13" s="182"/>
      <c r="U13" s="182"/>
      <c r="V13" s="182"/>
      <c r="W13" s="183"/>
      <c r="X13" s="15"/>
      <c r="Y13" s="14"/>
      <c r="Z13" s="14"/>
      <c r="AA13" s="14"/>
      <c r="AB13" s="14"/>
      <c r="AC13" s="14"/>
      <c r="AD13" s="16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ht="15.75" thickBot="1" x14ac:dyDescent="0.3">
      <c r="A14" s="165" t="s">
        <v>32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5"/>
      <c r="M14" s="181"/>
      <c r="N14" s="182"/>
      <c r="O14" s="182"/>
      <c r="P14" s="182"/>
      <c r="Q14" s="182"/>
      <c r="R14" s="182"/>
      <c r="S14" s="182"/>
      <c r="T14" s="182"/>
      <c r="U14" s="182"/>
      <c r="V14" s="182"/>
      <c r="W14" s="183"/>
      <c r="X14" s="15"/>
      <c r="Y14" s="14"/>
      <c r="Z14" s="14"/>
      <c r="AA14" s="14"/>
      <c r="AB14" s="14"/>
      <c r="AC14" s="14"/>
      <c r="AD14" s="16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ht="15.75" thickBot="1" x14ac:dyDescent="0.3">
      <c r="A15" s="140" t="s">
        <v>17</v>
      </c>
      <c r="B15" s="141"/>
      <c r="C15" s="150" t="s">
        <v>33</v>
      </c>
      <c r="D15" s="150"/>
      <c r="E15" s="150"/>
      <c r="F15" s="150"/>
      <c r="G15" s="150"/>
      <c r="H15" s="150"/>
      <c r="I15" s="141"/>
      <c r="J15" s="104" t="s">
        <v>34</v>
      </c>
      <c r="K15" s="106"/>
      <c r="L15" s="22" t="s">
        <v>35</v>
      </c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3"/>
      <c r="X15" s="15"/>
      <c r="Y15" s="14"/>
      <c r="Z15" s="14"/>
      <c r="AA15" s="14"/>
      <c r="AB15" s="14"/>
      <c r="AC15" s="14"/>
      <c r="AD15" s="16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2"/>
      <c r="B16" s="143"/>
      <c r="C16" s="151"/>
      <c r="D16" s="151"/>
      <c r="E16" s="151"/>
      <c r="F16" s="151"/>
      <c r="G16" s="151"/>
      <c r="H16" s="151"/>
      <c r="I16" s="143"/>
      <c r="J16" s="107"/>
      <c r="K16" s="109"/>
      <c r="L16" s="6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3"/>
      <c r="X16" s="15"/>
      <c r="Y16" s="14"/>
      <c r="Z16" s="14"/>
      <c r="AA16" s="14"/>
      <c r="AB16" s="14"/>
      <c r="AC16" s="14"/>
      <c r="AD16" s="16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4"/>
      <c r="B17" s="145"/>
      <c r="C17" s="152"/>
      <c r="D17" s="152"/>
      <c r="E17" s="152"/>
      <c r="F17" s="152"/>
      <c r="G17" s="152"/>
      <c r="H17" s="152"/>
      <c r="I17" s="145"/>
      <c r="J17" s="110"/>
      <c r="K17" s="112"/>
      <c r="L17" s="4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3"/>
      <c r="X17" s="15"/>
      <c r="Y17" s="14"/>
      <c r="Z17" s="14"/>
      <c r="AA17" s="14"/>
      <c r="AB17" s="14"/>
      <c r="AC17" s="14"/>
      <c r="AD17" s="16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146"/>
      <c r="B18" s="147"/>
      <c r="C18" s="153"/>
      <c r="D18" s="153"/>
      <c r="E18" s="153"/>
      <c r="F18" s="153"/>
      <c r="G18" s="153"/>
      <c r="H18" s="153"/>
      <c r="I18" s="147"/>
      <c r="J18" s="113"/>
      <c r="K18" s="115"/>
      <c r="L18" s="5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3"/>
      <c r="X18" s="15"/>
      <c r="Y18" s="14"/>
      <c r="Z18" s="14"/>
      <c r="AA18" s="14"/>
      <c r="AB18" s="14"/>
      <c r="AC18" s="14"/>
      <c r="AD18" s="16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144"/>
      <c r="B19" s="145"/>
      <c r="C19" s="152"/>
      <c r="D19" s="152"/>
      <c r="E19" s="152"/>
      <c r="F19" s="152"/>
      <c r="G19" s="152"/>
      <c r="H19" s="152"/>
      <c r="I19" s="145"/>
      <c r="J19" s="110"/>
      <c r="K19" s="112"/>
      <c r="L19" s="4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3"/>
      <c r="X19" s="15"/>
      <c r="Y19" s="14"/>
      <c r="Z19" s="14"/>
      <c r="AA19" s="14"/>
      <c r="AB19" s="14"/>
      <c r="AC19" s="14"/>
      <c r="AD19" s="16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ht="15.75" thickBot="1" x14ac:dyDescent="0.3">
      <c r="A20" s="146"/>
      <c r="B20" s="147"/>
      <c r="C20" s="153"/>
      <c r="D20" s="153"/>
      <c r="E20" s="153"/>
      <c r="F20" s="153"/>
      <c r="G20" s="153"/>
      <c r="H20" s="153"/>
      <c r="I20" s="147"/>
      <c r="J20" s="113"/>
      <c r="K20" s="115"/>
      <c r="L20" s="5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3"/>
      <c r="X20" s="15"/>
      <c r="Y20" s="14"/>
      <c r="Z20" s="14"/>
      <c r="AA20" s="14"/>
      <c r="AB20" s="14"/>
      <c r="AC20" s="14"/>
      <c r="AD20" s="16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5.75" thickBot="1" x14ac:dyDescent="0.3">
      <c r="A21" s="162" t="s">
        <v>36</v>
      </c>
      <c r="B21" s="196"/>
      <c r="C21" s="196"/>
      <c r="D21" s="196"/>
      <c r="E21" s="196"/>
      <c r="F21" s="196"/>
      <c r="G21" s="163"/>
      <c r="H21" s="163"/>
      <c r="I21" s="163"/>
      <c r="J21" s="197"/>
      <c r="K21" s="49"/>
      <c r="L21" s="50"/>
      <c r="M21" s="181"/>
      <c r="N21" s="182"/>
      <c r="O21" s="182"/>
      <c r="P21" s="182"/>
      <c r="Q21" s="182"/>
      <c r="R21" s="182"/>
      <c r="S21" s="182"/>
      <c r="T21" s="182"/>
      <c r="U21" s="182"/>
      <c r="V21" s="182"/>
      <c r="W21" s="183"/>
      <c r="X21" s="15"/>
      <c r="Y21" s="14"/>
      <c r="Z21" s="14"/>
      <c r="AA21" s="14"/>
      <c r="AB21" s="14"/>
      <c r="AC21" s="14"/>
      <c r="AD21" s="16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ht="15.75" thickBot="1" x14ac:dyDescent="0.3">
      <c r="A22" s="40" t="s">
        <v>37</v>
      </c>
      <c r="B22" s="104" t="s">
        <v>17</v>
      </c>
      <c r="C22" s="105"/>
      <c r="D22" s="105"/>
      <c r="E22" s="105"/>
      <c r="F22" s="106"/>
      <c r="G22" s="43" t="s">
        <v>38</v>
      </c>
      <c r="H22" s="140" t="s">
        <v>39</v>
      </c>
      <c r="I22" s="141"/>
      <c r="J22" s="140" t="s">
        <v>34</v>
      </c>
      <c r="K22" s="141"/>
      <c r="L22" s="41" t="s">
        <v>35</v>
      </c>
      <c r="M22" s="181"/>
      <c r="N22" s="182"/>
      <c r="O22" s="182"/>
      <c r="P22" s="182"/>
      <c r="Q22" s="182"/>
      <c r="R22" s="182"/>
      <c r="S22" s="182"/>
      <c r="T22" s="182"/>
      <c r="U22" s="182"/>
      <c r="V22" s="182"/>
      <c r="W22" s="183"/>
      <c r="X22" s="15"/>
      <c r="Y22" s="14"/>
      <c r="Z22" s="14"/>
      <c r="AA22" s="14"/>
      <c r="AB22" s="14"/>
      <c r="AC22" s="14"/>
      <c r="AD22" s="16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26">
        <v>1</v>
      </c>
      <c r="B23" s="107"/>
      <c r="C23" s="108"/>
      <c r="D23" s="108"/>
      <c r="E23" s="108"/>
      <c r="F23" s="109"/>
      <c r="G23" s="34"/>
      <c r="H23" s="142"/>
      <c r="I23" s="143"/>
      <c r="J23" s="142"/>
      <c r="K23" s="143"/>
      <c r="L23" s="51"/>
      <c r="M23" s="181"/>
      <c r="N23" s="182"/>
      <c r="O23" s="182"/>
      <c r="P23" s="182"/>
      <c r="Q23" s="182"/>
      <c r="R23" s="182"/>
      <c r="S23" s="182"/>
      <c r="T23" s="182"/>
      <c r="U23" s="182"/>
      <c r="V23" s="182"/>
      <c r="W23" s="183"/>
      <c r="X23" s="15"/>
      <c r="Y23" s="14"/>
      <c r="Z23" s="14"/>
      <c r="AA23" s="14"/>
      <c r="AB23" s="14"/>
      <c r="AC23" s="14"/>
      <c r="AD23" s="16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27">
        <v>2</v>
      </c>
      <c r="B24" s="110"/>
      <c r="C24" s="111"/>
      <c r="D24" s="111"/>
      <c r="E24" s="111"/>
      <c r="F24" s="112"/>
      <c r="G24" s="44"/>
      <c r="H24" s="144"/>
      <c r="I24" s="145"/>
      <c r="J24" s="144"/>
      <c r="K24" s="145"/>
      <c r="L24" s="42"/>
      <c r="M24" s="181"/>
      <c r="N24" s="182"/>
      <c r="O24" s="182"/>
      <c r="P24" s="182"/>
      <c r="Q24" s="182"/>
      <c r="R24" s="182"/>
      <c r="S24" s="182"/>
      <c r="T24" s="182"/>
      <c r="U24" s="182"/>
      <c r="V24" s="182"/>
      <c r="W24" s="183"/>
      <c r="X24" s="15"/>
      <c r="Y24" s="14"/>
      <c r="Z24" s="14"/>
      <c r="AA24" s="14"/>
      <c r="AB24" s="14"/>
      <c r="AC24" s="14"/>
      <c r="AD24" s="16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28">
        <v>3</v>
      </c>
      <c r="B25" s="113"/>
      <c r="C25" s="114"/>
      <c r="D25" s="114"/>
      <c r="E25" s="114"/>
      <c r="F25" s="115"/>
      <c r="G25" s="38"/>
      <c r="H25" s="146"/>
      <c r="I25" s="147"/>
      <c r="J25" s="146"/>
      <c r="K25" s="147"/>
      <c r="L25" s="39"/>
      <c r="M25" s="181"/>
      <c r="N25" s="182"/>
      <c r="O25" s="182"/>
      <c r="P25" s="182"/>
      <c r="Q25" s="182"/>
      <c r="R25" s="182"/>
      <c r="S25" s="182"/>
      <c r="T25" s="182"/>
      <c r="U25" s="182"/>
      <c r="V25" s="182"/>
      <c r="W25" s="183"/>
      <c r="X25" s="15"/>
      <c r="Y25" s="14"/>
      <c r="Z25" s="14"/>
      <c r="AA25" s="14"/>
      <c r="AB25" s="14"/>
      <c r="AC25" s="14"/>
      <c r="AD25" s="16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ht="15" customHeight="1" x14ac:dyDescent="0.25">
      <c r="A26" s="27">
        <v>4</v>
      </c>
      <c r="B26" s="110"/>
      <c r="C26" s="111"/>
      <c r="D26" s="111"/>
      <c r="E26" s="111"/>
      <c r="F26" s="112"/>
      <c r="G26" s="44"/>
      <c r="H26" s="144"/>
      <c r="I26" s="145"/>
      <c r="J26" s="144"/>
      <c r="K26" s="145"/>
      <c r="L26" s="42"/>
      <c r="M26" s="166" t="s">
        <v>40</v>
      </c>
      <c r="N26" s="167"/>
      <c r="O26" s="167"/>
      <c r="P26" s="167"/>
      <c r="Q26" s="167"/>
      <c r="R26" s="167"/>
      <c r="S26" s="167"/>
      <c r="T26" s="167"/>
      <c r="U26" s="167"/>
      <c r="V26" s="167"/>
      <c r="W26" s="168"/>
      <c r="X26" s="15"/>
      <c r="Y26" s="14"/>
      <c r="Z26" s="14"/>
      <c r="AA26" s="14"/>
      <c r="AB26" s="14"/>
      <c r="AC26" s="14"/>
      <c r="AD26" s="16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ht="15.75" customHeight="1" thickBot="1" x14ac:dyDescent="0.3">
      <c r="A27" s="29">
        <v>5</v>
      </c>
      <c r="B27" s="116"/>
      <c r="C27" s="117"/>
      <c r="D27" s="117"/>
      <c r="E27" s="117"/>
      <c r="F27" s="118"/>
      <c r="G27" s="46"/>
      <c r="H27" s="186"/>
      <c r="I27" s="155"/>
      <c r="J27" s="186"/>
      <c r="K27" s="155"/>
      <c r="L27" s="45"/>
      <c r="M27" s="169"/>
      <c r="N27" s="170"/>
      <c r="O27" s="170"/>
      <c r="P27" s="170"/>
      <c r="Q27" s="170"/>
      <c r="R27" s="170"/>
      <c r="S27" s="170"/>
      <c r="T27" s="170"/>
      <c r="U27" s="170"/>
      <c r="V27" s="170"/>
      <c r="W27" s="171"/>
      <c r="X27" s="15"/>
      <c r="Y27" s="14"/>
      <c r="Z27" s="14"/>
      <c r="AA27" s="14"/>
      <c r="AB27" s="14"/>
      <c r="AC27" s="14"/>
      <c r="AD27" s="16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ht="15.75" thickBot="1" x14ac:dyDescent="0.3">
      <c r="A28" s="165" t="s">
        <v>41</v>
      </c>
      <c r="B28" s="198"/>
      <c r="C28" s="198"/>
      <c r="D28" s="198"/>
      <c r="E28" s="198"/>
      <c r="F28" s="198"/>
      <c r="G28" s="134"/>
      <c r="H28" s="134"/>
      <c r="I28" s="134"/>
      <c r="J28" s="134"/>
      <c r="K28" s="134"/>
      <c r="L28" s="134"/>
      <c r="M28" s="134"/>
      <c r="N28" s="134"/>
      <c r="O28" s="134"/>
      <c r="P28" s="133" t="s">
        <v>42</v>
      </c>
      <c r="Q28" s="134"/>
      <c r="R28" s="134"/>
      <c r="S28" s="134"/>
      <c r="T28" s="134"/>
      <c r="U28" s="134"/>
      <c r="V28" s="134"/>
      <c r="W28" s="135"/>
      <c r="X28" s="15"/>
      <c r="Y28" s="14"/>
      <c r="Z28" s="14"/>
      <c r="AA28" s="14"/>
      <c r="AB28" s="14"/>
      <c r="AC28" s="14"/>
      <c r="AD28" s="16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6" t="s">
        <v>38</v>
      </c>
      <c r="B29" s="178" t="s">
        <v>43</v>
      </c>
      <c r="C29" s="179"/>
      <c r="D29" s="179"/>
      <c r="E29" s="179"/>
      <c r="F29" s="180"/>
      <c r="G29" s="35" t="s">
        <v>44</v>
      </c>
      <c r="H29" s="36" t="s">
        <v>45</v>
      </c>
      <c r="I29" s="125" t="s">
        <v>46</v>
      </c>
      <c r="J29" s="126"/>
      <c r="K29" s="125" t="s">
        <v>47</v>
      </c>
      <c r="L29" s="126"/>
      <c r="M29" s="125" t="s">
        <v>48</v>
      </c>
      <c r="N29" s="126"/>
      <c r="O29" s="10" t="s">
        <v>49</v>
      </c>
      <c r="P29" s="136" t="s">
        <v>50</v>
      </c>
      <c r="Q29" s="137"/>
      <c r="R29" s="137"/>
      <c r="S29" s="126"/>
      <c r="T29" s="36" t="s">
        <v>51</v>
      </c>
      <c r="U29" s="36" t="s">
        <v>52</v>
      </c>
      <c r="V29" s="36" t="s">
        <v>35</v>
      </c>
      <c r="W29" s="35" t="s">
        <v>24</v>
      </c>
      <c r="X29" s="15"/>
      <c r="Y29" s="14"/>
      <c r="Z29" s="14"/>
      <c r="AA29" s="14"/>
      <c r="AB29" s="14"/>
      <c r="AC29" s="14"/>
      <c r="AD29" s="16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3"/>
      <c r="B30" s="199" t="str">
        <f>_xlfn.IFNA(VLOOKUP(A30,'Construction Sheet'!$A$3:$D$50,2,FALSE), "")</f>
        <v/>
      </c>
      <c r="C30" s="200"/>
      <c r="D30" s="200"/>
      <c r="E30" s="200"/>
      <c r="F30" s="201"/>
      <c r="G30" s="33" t="str">
        <f>_xlfn.IFNA(VLOOKUP(A30,'Construction Sheet'!$A$3:$D$50,3,FALSE),"")</f>
        <v/>
      </c>
      <c r="H30" s="33"/>
      <c r="I30" s="127" t="str">
        <f>IF($B30="","",IF(10&lt;$A30,IF($A30&lt;18,".002","N/A"),"N/A"))</f>
        <v/>
      </c>
      <c r="J30" s="121"/>
      <c r="K30" s="127" t="str">
        <f>IF($B30="","",IF($A30&gt;=1,IF($A30&lt;=33,VLOOKUP('Primary Operation 8'!$A30,'Construction Sheet'!$A$2:$F$35,5),""),""))</f>
        <v/>
      </c>
      <c r="L30" s="121"/>
      <c r="M30" s="127" t="str">
        <f>IF($B30="","",IF($A30&gt;=1,IF($A30&lt;=33,VLOOKUP('Primary Operation 8'!$A30,'Construction Sheet'!$A$2:$F$35,6),""),""))</f>
        <v/>
      </c>
      <c r="N30" s="121"/>
      <c r="O30" s="32"/>
      <c r="P30" s="119"/>
      <c r="Q30" s="120"/>
      <c r="R30" s="120"/>
      <c r="S30" s="121"/>
      <c r="T30" s="33"/>
      <c r="U30" s="33"/>
      <c r="V30" s="33"/>
      <c r="W30" s="33"/>
      <c r="X30" s="15"/>
      <c r="Y30" s="14"/>
      <c r="Z30" s="14"/>
      <c r="AA30" s="14"/>
      <c r="AB30" s="14"/>
      <c r="AC30" s="14"/>
      <c r="AD30" s="16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ht="15" customHeight="1" x14ac:dyDescent="0.25">
      <c r="A31" s="31"/>
      <c r="B31" s="205" t="str">
        <f>_xlfn.IFNA(VLOOKUP(A31,'Construction Sheet'!$A$3:$D$50,2,FALSE), "")</f>
        <v/>
      </c>
      <c r="C31" s="206"/>
      <c r="D31" s="206"/>
      <c r="E31" s="206"/>
      <c r="F31" s="207"/>
      <c r="G31" s="31" t="str">
        <f>_xlfn.IFNA(VLOOKUP(A31,'Construction Sheet'!$A$3:$D$50,3,FALSE),"")</f>
        <v/>
      </c>
      <c r="H31" s="31"/>
      <c r="I31" s="128" t="str">
        <f t="shared" ref="I31:I44" si="0">IF($B31="","",IF(10&lt;$A31,IF($A31&lt;18,".002","N/A"),"N/A"))</f>
        <v/>
      </c>
      <c r="J31" s="124"/>
      <c r="K31" s="128" t="str">
        <f>IF($B31="","",IF($A31&gt;=1,IF($A31&lt;=33,VLOOKUP('Primary Operation 8'!$A31,'Construction Sheet'!$A$2:$F$35,5),""),""))</f>
        <v/>
      </c>
      <c r="L31" s="124"/>
      <c r="M31" s="128" t="str">
        <f>IF($B31="","",IF($A31&gt;=1,IF($A31&lt;=33,VLOOKUP('Primary Operation 8'!$A31,'Construction Sheet'!$A$2:$F$35,6),""),""))</f>
        <v/>
      </c>
      <c r="N31" s="124"/>
      <c r="O31" s="30"/>
      <c r="P31" s="122"/>
      <c r="Q31" s="123"/>
      <c r="R31" s="123"/>
      <c r="S31" s="124"/>
      <c r="T31" s="31"/>
      <c r="U31" s="31"/>
      <c r="V31" s="31"/>
      <c r="W31" s="31"/>
      <c r="X31" s="15"/>
      <c r="Y31" s="14"/>
      <c r="Z31" s="14"/>
      <c r="AA31" s="14"/>
      <c r="AB31" s="14"/>
      <c r="AC31" s="14"/>
      <c r="AD31" s="16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3"/>
      <c r="B32" s="199" t="str">
        <f>_xlfn.IFNA(VLOOKUP(A32,'Construction Sheet'!$A$3:$D$50,2,FALSE), "")</f>
        <v/>
      </c>
      <c r="C32" s="200"/>
      <c r="D32" s="200"/>
      <c r="E32" s="200"/>
      <c r="F32" s="201"/>
      <c r="G32" s="33" t="str">
        <f>_xlfn.IFNA(VLOOKUP(A32,'Construction Sheet'!$A$3:$D$50,3,FALSE),"")</f>
        <v/>
      </c>
      <c r="H32" s="33"/>
      <c r="I32" s="127" t="str">
        <f t="shared" si="0"/>
        <v/>
      </c>
      <c r="J32" s="121"/>
      <c r="K32" s="127" t="str">
        <f>IF($B32="","",IF($A32&gt;=1,IF($A32&lt;=33,VLOOKUP('Primary Operation 8'!$A32,'Construction Sheet'!$A$2:$F$35,5),""),""))</f>
        <v/>
      </c>
      <c r="L32" s="121"/>
      <c r="M32" s="127" t="str">
        <f>IF($B32="","",IF($A32&gt;=1,IF($A32&lt;=33,VLOOKUP('Primary Operation 8'!$A32,'Construction Sheet'!$A$2:$F$35,6),""),""))</f>
        <v/>
      </c>
      <c r="N32" s="121"/>
      <c r="O32" s="32"/>
      <c r="P32" s="119"/>
      <c r="Q32" s="120"/>
      <c r="R32" s="120"/>
      <c r="S32" s="121"/>
      <c r="T32" s="33"/>
      <c r="U32" s="33"/>
      <c r="V32" s="33"/>
      <c r="W32" s="33"/>
      <c r="X32" s="15"/>
      <c r="Y32" s="14"/>
      <c r="Z32" s="14"/>
      <c r="AA32" s="14"/>
      <c r="AB32" s="14"/>
      <c r="AC32" s="14"/>
      <c r="AD32" s="16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/>
      <c r="B33" s="205" t="str">
        <f>_xlfn.IFNA(VLOOKUP(A33,'Construction Sheet'!$A$3:$D$50,2,FALSE), "")</f>
        <v/>
      </c>
      <c r="C33" s="206"/>
      <c r="D33" s="206"/>
      <c r="E33" s="206"/>
      <c r="F33" s="207"/>
      <c r="G33" s="31" t="str">
        <f>_xlfn.IFNA(VLOOKUP(A33,'Construction Sheet'!$A$3:$D$50,3,FALSE),"")</f>
        <v/>
      </c>
      <c r="H33" s="31"/>
      <c r="I33" s="128" t="str">
        <f t="shared" si="0"/>
        <v/>
      </c>
      <c r="J33" s="124"/>
      <c r="K33" s="128" t="str">
        <f>IF($B33="","",IF($A33&gt;=1,IF($A33&lt;=33,VLOOKUP('Primary Operation 8'!$A33,'Construction Sheet'!$A$2:$F$35,5),""),""))</f>
        <v/>
      </c>
      <c r="L33" s="124"/>
      <c r="M33" s="128" t="str">
        <f>IF($B33="","",IF($A33&gt;=1,IF($A33&lt;=33,VLOOKUP('Primary Operation 8'!$A33,'Construction Sheet'!$A$2:$F$35,6),""),""))</f>
        <v/>
      </c>
      <c r="N33" s="124"/>
      <c r="O33" s="30"/>
      <c r="P33" s="122"/>
      <c r="Q33" s="123"/>
      <c r="R33" s="123"/>
      <c r="S33" s="124"/>
      <c r="T33" s="31"/>
      <c r="U33" s="31"/>
      <c r="V33" s="31"/>
      <c r="W33" s="31"/>
      <c r="X33" s="15"/>
      <c r="Y33" s="14"/>
      <c r="Z33" s="14"/>
      <c r="AA33" s="14"/>
      <c r="AB33" s="14"/>
      <c r="AC33" s="14"/>
      <c r="AD33" s="16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3"/>
      <c r="B34" s="199" t="str">
        <f>_xlfn.IFNA(VLOOKUP(A34,'Construction Sheet'!$A$3:$D$50,2,FALSE), "")</f>
        <v/>
      </c>
      <c r="C34" s="200"/>
      <c r="D34" s="200"/>
      <c r="E34" s="200"/>
      <c r="F34" s="201"/>
      <c r="G34" s="33" t="str">
        <f>_xlfn.IFNA(VLOOKUP(A34,'Construction Sheet'!$A$3:$D$50,3,FALSE),"")</f>
        <v/>
      </c>
      <c r="H34" s="33"/>
      <c r="I34" s="127" t="str">
        <f t="shared" si="0"/>
        <v/>
      </c>
      <c r="J34" s="121"/>
      <c r="K34" s="127" t="str">
        <f>IF($B34="","",IF($A34&gt;=1,IF($A34&lt;=33,VLOOKUP('Primary Operation 8'!$A34,'Construction Sheet'!$A$2:$F$35,5),""),""))</f>
        <v/>
      </c>
      <c r="L34" s="121"/>
      <c r="M34" s="127" t="str">
        <f>IF($B34="","",IF($A34&gt;=1,IF($A34&lt;=33,VLOOKUP('Primary Operation 8'!$A34,'Construction Sheet'!$A$2:$F$35,6),""),""))</f>
        <v/>
      </c>
      <c r="N34" s="121"/>
      <c r="O34" s="32"/>
      <c r="P34" s="119"/>
      <c r="Q34" s="120"/>
      <c r="R34" s="120"/>
      <c r="S34" s="121"/>
      <c r="T34" s="33"/>
      <c r="U34" s="33"/>
      <c r="V34" s="33"/>
      <c r="W34" s="33"/>
      <c r="X34" s="15"/>
      <c r="Y34" s="14"/>
      <c r="Z34" s="14"/>
      <c r="AA34" s="14"/>
      <c r="AB34" s="14"/>
      <c r="AC34" s="14"/>
      <c r="AD34" s="16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05" t="str">
        <f>_xlfn.IFNA(VLOOKUP(A35,'Construction Sheet'!$A$3:$D$50,2,FALSE), "")</f>
        <v/>
      </c>
      <c r="C35" s="206"/>
      <c r="D35" s="206"/>
      <c r="E35" s="206"/>
      <c r="F35" s="207"/>
      <c r="G35" s="31" t="str">
        <f>_xlfn.IFNA(VLOOKUP(A35,'Construction Sheet'!$A$3:$D$50,3,FALSE),"")</f>
        <v/>
      </c>
      <c r="H35" s="31"/>
      <c r="I35" s="128" t="str">
        <f t="shared" si="0"/>
        <v/>
      </c>
      <c r="J35" s="124"/>
      <c r="K35" s="128" t="str">
        <f>IF($B35="","",IF($A35&gt;=1,IF($A35&lt;=33,VLOOKUP('Primary Operation 8'!$A35,'Construction Sheet'!$A$2:$F$35,5),""),""))</f>
        <v/>
      </c>
      <c r="L35" s="124"/>
      <c r="M35" s="128" t="str">
        <f>IF($B35="","",IF($A35&gt;=1,IF($A35&lt;=33,VLOOKUP('Primary Operation 8'!$A35,'Construction Sheet'!$A$2:$F$35,6),""),""))</f>
        <v/>
      </c>
      <c r="N35" s="124"/>
      <c r="O35" s="30"/>
      <c r="P35" s="122"/>
      <c r="Q35" s="123"/>
      <c r="R35" s="123"/>
      <c r="S35" s="124"/>
      <c r="T35" s="31"/>
      <c r="U35" s="31"/>
      <c r="V35" s="31"/>
      <c r="W35" s="31"/>
      <c r="X35" s="15"/>
      <c r="Y35" s="14"/>
      <c r="Z35" s="14"/>
      <c r="AA35" s="14"/>
      <c r="AB35" s="14"/>
      <c r="AC35" s="14"/>
      <c r="AD35" s="16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3"/>
      <c r="B36" s="199" t="str">
        <f>_xlfn.IFNA(VLOOKUP(A36,'Construction Sheet'!$A$3:$D$50,2,FALSE), "")</f>
        <v/>
      </c>
      <c r="C36" s="200"/>
      <c r="D36" s="200"/>
      <c r="E36" s="200"/>
      <c r="F36" s="201"/>
      <c r="G36" s="33" t="str">
        <f>_xlfn.IFNA(VLOOKUP(A36,'Construction Sheet'!$A$3:$D$50,3,FALSE),"")</f>
        <v/>
      </c>
      <c r="H36" s="33"/>
      <c r="I36" s="127" t="str">
        <f t="shared" si="0"/>
        <v/>
      </c>
      <c r="J36" s="121"/>
      <c r="K36" s="127" t="str">
        <f>IF($B36="","",IF($A36&gt;=1,IF($A36&lt;=33,VLOOKUP('Primary Operation 8'!$A36,'Construction Sheet'!$A$2:$F$35,5),""),""))</f>
        <v/>
      </c>
      <c r="L36" s="121"/>
      <c r="M36" s="127" t="str">
        <f>IF($B36="","",IF($A36&gt;=1,IF($A36&lt;=33,VLOOKUP('Primary Operation 8'!$A36,'Construction Sheet'!$A$2:$F$35,6),""),""))</f>
        <v/>
      </c>
      <c r="N36" s="121"/>
      <c r="O36" s="32"/>
      <c r="P36" s="119"/>
      <c r="Q36" s="120"/>
      <c r="R36" s="120"/>
      <c r="S36" s="121"/>
      <c r="T36" s="33"/>
      <c r="U36" s="33"/>
      <c r="V36" s="33"/>
      <c r="W36" s="33"/>
      <c r="X36" s="15"/>
      <c r="Y36" s="14"/>
      <c r="Z36" s="14"/>
      <c r="AA36" s="14"/>
      <c r="AB36" s="14"/>
      <c r="AC36" s="14"/>
      <c r="AD36" s="16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05" t="str">
        <f>_xlfn.IFNA(VLOOKUP(A37,'Construction Sheet'!$A$3:$D$50,2,FALSE), "")</f>
        <v/>
      </c>
      <c r="C37" s="206"/>
      <c r="D37" s="206"/>
      <c r="E37" s="206"/>
      <c r="F37" s="207"/>
      <c r="G37" s="31" t="str">
        <f>_xlfn.IFNA(VLOOKUP(A37,'Construction Sheet'!$A$3:$D$50,3,FALSE),"")</f>
        <v/>
      </c>
      <c r="H37" s="31"/>
      <c r="I37" s="128" t="str">
        <f t="shared" si="0"/>
        <v/>
      </c>
      <c r="J37" s="124"/>
      <c r="K37" s="128" t="str">
        <f>IF($B37="","",IF($A37&gt;=1,IF($A37&lt;=33,VLOOKUP('Primary Operation 8'!$A37,'Construction Sheet'!$A$2:$F$35,5),""),""))</f>
        <v/>
      </c>
      <c r="L37" s="124"/>
      <c r="M37" s="128" t="str">
        <f>IF($B37="","",IF($A37&gt;=1,IF($A37&lt;=33,VLOOKUP('Primary Operation 8'!$A37,'Construction Sheet'!$A$2:$F$35,6),""),""))</f>
        <v/>
      </c>
      <c r="N37" s="124"/>
      <c r="O37" s="30"/>
      <c r="P37" s="122"/>
      <c r="Q37" s="123"/>
      <c r="R37" s="123"/>
      <c r="S37" s="124"/>
      <c r="T37" s="31"/>
      <c r="U37" s="31"/>
      <c r="V37" s="31"/>
      <c r="W37" s="31"/>
      <c r="X37" s="15"/>
      <c r="Y37" s="14"/>
      <c r="Z37" s="14"/>
      <c r="AA37" s="14"/>
      <c r="AB37" s="14"/>
      <c r="AC37" s="14"/>
      <c r="AD37" s="16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3"/>
      <c r="B38" s="199" t="str">
        <f>_xlfn.IFNA(VLOOKUP(A38,'Construction Sheet'!$A$3:$D$50,2,FALSE), "")</f>
        <v/>
      </c>
      <c r="C38" s="200"/>
      <c r="D38" s="200"/>
      <c r="E38" s="200"/>
      <c r="F38" s="201"/>
      <c r="G38" s="33" t="str">
        <f>_xlfn.IFNA(VLOOKUP(A38,'Construction Sheet'!$A$3:$D$50,3,FALSE),"")</f>
        <v/>
      </c>
      <c r="H38" s="33"/>
      <c r="I38" s="127" t="str">
        <f t="shared" si="0"/>
        <v/>
      </c>
      <c r="J38" s="121"/>
      <c r="K38" s="127" t="str">
        <f>IF($B38="","",IF($A38&gt;=1,IF($A38&lt;=33,VLOOKUP('Primary Operation 8'!$A38,'Construction Sheet'!$A$2:$F$35,5),""),""))</f>
        <v/>
      </c>
      <c r="L38" s="121"/>
      <c r="M38" s="127" t="str">
        <f>IF($B38="","",IF($A38&gt;=1,IF($A38&lt;=33,VLOOKUP('Primary Operation 8'!$A38,'Construction Sheet'!$A$2:$F$35,6),""),""))</f>
        <v/>
      </c>
      <c r="N38" s="121"/>
      <c r="O38" s="32"/>
      <c r="P38" s="119"/>
      <c r="Q38" s="120"/>
      <c r="R38" s="120"/>
      <c r="S38" s="121"/>
      <c r="T38" s="33"/>
      <c r="U38" s="33"/>
      <c r="V38" s="33"/>
      <c r="W38" s="33"/>
      <c r="X38" s="15"/>
      <c r="Y38" s="14"/>
      <c r="Z38" s="14"/>
      <c r="AA38" s="14"/>
      <c r="AB38" s="14"/>
      <c r="AC38" s="14"/>
      <c r="AD38" s="16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05" t="str">
        <f>_xlfn.IFNA(VLOOKUP(A39,'Construction Sheet'!$A$3:$D$50,2,FALSE), "")</f>
        <v/>
      </c>
      <c r="C39" s="206"/>
      <c r="D39" s="206"/>
      <c r="E39" s="206"/>
      <c r="F39" s="207"/>
      <c r="G39" s="31" t="str">
        <f>_xlfn.IFNA(VLOOKUP(A39,'Construction Sheet'!$A$3:$D$50,3,FALSE),"")</f>
        <v/>
      </c>
      <c r="H39" s="31"/>
      <c r="I39" s="128" t="str">
        <f t="shared" si="0"/>
        <v/>
      </c>
      <c r="J39" s="124"/>
      <c r="K39" s="128" t="str">
        <f>IF($B39="","",IF($A39&gt;=1,IF($A39&lt;=33,VLOOKUP('Primary Operation 8'!$A39,'Construction Sheet'!$A$2:$F$35,5),""),""))</f>
        <v/>
      </c>
      <c r="L39" s="124"/>
      <c r="M39" s="128" t="str">
        <f>IF($B39="","",IF($A39&gt;=1,IF($A39&lt;=33,VLOOKUP('Primary Operation 8'!$A39,'Construction Sheet'!$A$2:$F$35,6),""),""))</f>
        <v/>
      </c>
      <c r="N39" s="124"/>
      <c r="O39" s="30"/>
      <c r="P39" s="122"/>
      <c r="Q39" s="123"/>
      <c r="R39" s="123"/>
      <c r="S39" s="124"/>
      <c r="T39" s="31"/>
      <c r="U39" s="31"/>
      <c r="V39" s="31"/>
      <c r="W39" s="31"/>
      <c r="X39" s="15"/>
      <c r="Y39" s="14"/>
      <c r="Z39" s="14"/>
      <c r="AA39" s="14"/>
      <c r="AB39" s="14"/>
      <c r="AC39" s="14"/>
      <c r="AD39" s="16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3"/>
      <c r="B40" s="199" t="str">
        <f>_xlfn.IFNA(VLOOKUP(A40,'Construction Sheet'!$A$3:$D$50,2,FALSE), "")</f>
        <v/>
      </c>
      <c r="C40" s="200"/>
      <c r="D40" s="200"/>
      <c r="E40" s="200"/>
      <c r="F40" s="201"/>
      <c r="G40" s="33" t="str">
        <f>_xlfn.IFNA(VLOOKUP(A40,'Construction Sheet'!$A$3:$D$50,3,FALSE),"")</f>
        <v/>
      </c>
      <c r="H40" s="33"/>
      <c r="I40" s="127" t="str">
        <f t="shared" si="0"/>
        <v/>
      </c>
      <c r="J40" s="121"/>
      <c r="K40" s="127" t="str">
        <f>IF($B40="","",IF($A40&gt;=1,IF($A40&lt;=33,VLOOKUP('Primary Operation 8'!$A40,'Construction Sheet'!$A$2:$F$35,5),""),""))</f>
        <v/>
      </c>
      <c r="L40" s="121"/>
      <c r="M40" s="127" t="str">
        <f>IF($B40="","",IF($A40&gt;=1,IF($A40&lt;=33,VLOOKUP('Primary Operation 8'!$A40,'Construction Sheet'!$A$2:$F$35,6),""),""))</f>
        <v/>
      </c>
      <c r="N40" s="121"/>
      <c r="O40" s="32"/>
      <c r="P40" s="119"/>
      <c r="Q40" s="120"/>
      <c r="R40" s="120"/>
      <c r="S40" s="121"/>
      <c r="T40" s="33"/>
      <c r="U40" s="33"/>
      <c r="V40" s="33"/>
      <c r="W40" s="33"/>
      <c r="X40" s="15"/>
      <c r="Y40" s="14"/>
      <c r="Z40" s="14"/>
      <c r="AA40" s="14"/>
      <c r="AB40" s="14"/>
      <c r="AC40" s="14"/>
      <c r="AD40" s="16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31"/>
      <c r="B41" s="205" t="str">
        <f>_xlfn.IFNA(VLOOKUP(A41,'Construction Sheet'!$A$3:$D$50,2,FALSE), "")</f>
        <v/>
      </c>
      <c r="C41" s="206"/>
      <c r="D41" s="206"/>
      <c r="E41" s="206"/>
      <c r="F41" s="207"/>
      <c r="G41" s="31" t="str">
        <f>_xlfn.IFNA(VLOOKUP(A41,'Construction Sheet'!$A$3:$D$50,3,FALSE),"")</f>
        <v/>
      </c>
      <c r="H41" s="31"/>
      <c r="I41" s="128" t="str">
        <f t="shared" si="0"/>
        <v/>
      </c>
      <c r="J41" s="124"/>
      <c r="K41" s="128" t="str">
        <f>IF($B41="","",IF($A41&gt;=1,IF($A41&lt;=33,VLOOKUP('Primary Operation 8'!$A41,'Construction Sheet'!$A$2:$F$35,5),""),""))</f>
        <v/>
      </c>
      <c r="L41" s="124"/>
      <c r="M41" s="128" t="str">
        <f>IF($B41="","",IF($A41&gt;=1,IF($A41&lt;=33,VLOOKUP('Primary Operation 8'!$A41,'Construction Sheet'!$A$2:$F$35,6),""),""))</f>
        <v/>
      </c>
      <c r="N41" s="124"/>
      <c r="O41" s="30"/>
      <c r="P41" s="122"/>
      <c r="Q41" s="123"/>
      <c r="R41" s="123"/>
      <c r="S41" s="124"/>
      <c r="T41" s="31"/>
      <c r="U41" s="31"/>
      <c r="V41" s="31"/>
      <c r="W41" s="31"/>
      <c r="X41" s="15"/>
      <c r="Y41" s="14"/>
      <c r="Z41" s="14"/>
      <c r="AA41" s="14"/>
      <c r="AB41" s="14"/>
      <c r="AC41" s="14"/>
      <c r="AD41" s="16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3"/>
      <c r="B42" s="199" t="str">
        <f>_xlfn.IFNA(VLOOKUP(A42,'Construction Sheet'!$A$3:$D$50,2,FALSE), "")</f>
        <v/>
      </c>
      <c r="C42" s="200"/>
      <c r="D42" s="200"/>
      <c r="E42" s="200"/>
      <c r="F42" s="201"/>
      <c r="G42" s="33" t="str">
        <f>_xlfn.IFNA(VLOOKUP(A42,'Construction Sheet'!$A$3:$D$50,3,FALSE),"")</f>
        <v/>
      </c>
      <c r="H42" s="33"/>
      <c r="I42" s="127" t="str">
        <f t="shared" si="0"/>
        <v/>
      </c>
      <c r="J42" s="121"/>
      <c r="K42" s="127" t="str">
        <f>IF($B42="","",IF($A42&gt;=1,IF($A42&lt;=33,VLOOKUP('Primary Operation 8'!$A42,'Construction Sheet'!$A$2:$F$35,5),""),""))</f>
        <v/>
      </c>
      <c r="L42" s="121"/>
      <c r="M42" s="127" t="str">
        <f>IF($B42="","",IF($A42&gt;=1,IF($A42&lt;=33,VLOOKUP('Primary Operation 8'!$A42,'Construction Sheet'!$A$2:$F$35,6),""),""))</f>
        <v/>
      </c>
      <c r="N42" s="121"/>
      <c r="O42" s="32"/>
      <c r="P42" s="119"/>
      <c r="Q42" s="120"/>
      <c r="R42" s="120"/>
      <c r="S42" s="121"/>
      <c r="T42" s="33"/>
      <c r="U42" s="33"/>
      <c r="V42" s="33"/>
      <c r="W42" s="33"/>
      <c r="X42" s="15"/>
      <c r="Y42" s="14"/>
      <c r="Z42" s="14"/>
      <c r="AA42" s="14"/>
      <c r="AB42" s="14"/>
      <c r="AC42" s="14"/>
      <c r="AD42" s="16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31"/>
      <c r="B43" s="205" t="str">
        <f>_xlfn.IFNA(VLOOKUP(A43,'Construction Sheet'!$A$3:$D$50,2,FALSE), "")</f>
        <v/>
      </c>
      <c r="C43" s="206"/>
      <c r="D43" s="206"/>
      <c r="E43" s="206"/>
      <c r="F43" s="207"/>
      <c r="G43" s="31" t="str">
        <f>_xlfn.IFNA(VLOOKUP(A43,'Construction Sheet'!$A$3:$D$50,3,FALSE),"")</f>
        <v/>
      </c>
      <c r="H43" s="31"/>
      <c r="I43" s="128" t="str">
        <f t="shared" si="0"/>
        <v/>
      </c>
      <c r="J43" s="124"/>
      <c r="K43" s="128" t="str">
        <f>IF($B43="","",IF($A43&gt;=1,IF($A43&lt;=33,VLOOKUP('Primary Operation 8'!$A43,'Construction Sheet'!$A$2:$F$35,5),""),""))</f>
        <v/>
      </c>
      <c r="L43" s="124"/>
      <c r="M43" s="128" t="str">
        <f>IF($B43="","",IF($A43&gt;=1,IF($A43&lt;=33,VLOOKUP('Primary Operation 8'!$A43,'Construction Sheet'!$A$2:$F$35,6),""),""))</f>
        <v/>
      </c>
      <c r="N43" s="124"/>
      <c r="O43" s="30"/>
      <c r="P43" s="122"/>
      <c r="Q43" s="123"/>
      <c r="R43" s="123"/>
      <c r="S43" s="124"/>
      <c r="T43" s="31"/>
      <c r="U43" s="31"/>
      <c r="V43" s="31"/>
      <c r="W43" s="31"/>
      <c r="X43" s="15"/>
      <c r="Y43" s="14"/>
      <c r="Z43" s="14"/>
      <c r="AA43" s="14"/>
      <c r="AB43" s="14"/>
      <c r="AC43" s="14"/>
      <c r="AD43" s="16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ht="15.75" thickBot="1" x14ac:dyDescent="0.3">
      <c r="A44" s="47"/>
      <c r="B44" s="208" t="str">
        <f>_xlfn.IFNA(VLOOKUP(A44,'Construction Sheet'!$A$3:$D$50,2,FALSE), "")</f>
        <v/>
      </c>
      <c r="C44" s="209"/>
      <c r="D44" s="209"/>
      <c r="E44" s="209"/>
      <c r="F44" s="210"/>
      <c r="G44" s="47" t="str">
        <f>_xlfn.IFNA(VLOOKUP(A44,'Construction Sheet'!$A$3:$D$50,3,FALSE),"")</f>
        <v/>
      </c>
      <c r="H44" s="47"/>
      <c r="I44" s="129" t="str">
        <f t="shared" si="0"/>
        <v/>
      </c>
      <c r="J44" s="130"/>
      <c r="K44" s="129" t="str">
        <f>IF($B44="","",IF($A44&gt;=1,IF($A44&lt;=33,VLOOKUP('Primary Operation 8'!$A44,'Construction Sheet'!$A$2:$F$35,5),""),""))</f>
        <v/>
      </c>
      <c r="L44" s="130"/>
      <c r="M44" s="129" t="str">
        <f>IF($B44="","",IF($A44&gt;=1,IF($A44&lt;=33,VLOOKUP('Primary Operation 8'!$A44,'Construction Sheet'!$A$2:$F$35,6),""),""))</f>
        <v/>
      </c>
      <c r="N44" s="130"/>
      <c r="O44" s="48"/>
      <c r="P44" s="131"/>
      <c r="Q44" s="132"/>
      <c r="R44" s="132"/>
      <c r="S44" s="130"/>
      <c r="T44" s="47"/>
      <c r="U44" s="47"/>
      <c r="V44" s="47"/>
      <c r="W44" s="47"/>
      <c r="X44" s="15"/>
      <c r="Y44" s="14"/>
      <c r="Z44" s="14"/>
      <c r="AA44" s="14"/>
      <c r="AB44" s="14"/>
      <c r="AC44" s="14"/>
      <c r="AD44" s="16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ht="15.75" thickBot="1" x14ac:dyDescent="0.3">
      <c r="A45" s="97" t="s">
        <v>53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9"/>
      <c r="T45" s="97" t="s">
        <v>54</v>
      </c>
      <c r="U45" s="99"/>
      <c r="V45" s="98" t="s">
        <v>55</v>
      </c>
      <c r="W45" s="99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</row>
    <row r="46" spans="1:46" ht="15" customHeight="1" x14ac:dyDescent="0.25">
      <c r="A46" s="91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3"/>
      <c r="T46" s="100"/>
      <c r="U46" s="101"/>
      <c r="V46" s="100"/>
      <c r="W46" s="101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</row>
    <row r="47" spans="1:46" ht="15" customHeight="1" x14ac:dyDescent="0.25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3"/>
      <c r="T47" s="100"/>
      <c r="U47" s="101"/>
      <c r="V47" s="100"/>
      <c r="W47" s="101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</row>
    <row r="48" spans="1:46" ht="15" customHeight="1" x14ac:dyDescent="0.25">
      <c r="A48" s="91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3"/>
      <c r="T48" s="100"/>
      <c r="U48" s="101"/>
      <c r="V48" s="100"/>
      <c r="W48" s="101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</row>
    <row r="49" spans="1:46" ht="15.75" customHeight="1" x14ac:dyDescent="0.25">
      <c r="A49" s="91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3"/>
      <c r="T49" s="100"/>
      <c r="U49" s="101"/>
      <c r="V49" s="100"/>
      <c r="W49" s="101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</row>
    <row r="50" spans="1:46" ht="15.75" customHeight="1" x14ac:dyDescent="0.25">
      <c r="A50" s="91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3"/>
      <c r="T50" s="100"/>
      <c r="U50" s="101"/>
      <c r="V50" s="100"/>
      <c r="W50" s="101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</row>
    <row r="51" spans="1:46" ht="15.75" customHeight="1" thickBot="1" x14ac:dyDescent="0.3">
      <c r="A51" s="94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102"/>
      <c r="U51" s="103"/>
      <c r="V51" s="102"/>
      <c r="W51" s="103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</row>
    <row r="52" spans="1:46" x14ac:dyDescent="0.25">
      <c r="A52" s="185" t="s">
        <v>190</v>
      </c>
      <c r="B52" s="185"/>
      <c r="C52" s="185"/>
      <c r="D52" s="78" t="str" cm="1">
        <f t="array" aca="1" ref="D52" ca="1">MID(CELL("filename",A1),FIND("[",CELL("filename",A1))+1,FIND(".xlsm",CELL("filename",A1))-FIND("[",CELL("filename",A1))-1)</f>
        <v>import_test</v>
      </c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 t="str">
        <f>IF(ISBLANK(Cover!D6),"",Cover!D6)</f>
        <v>26-0099</v>
      </c>
      <c r="V52" s="78"/>
      <c r="W52" s="78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</sheetData>
  <sheetProtection selectLockedCells="1"/>
  <mergeCells count="172">
    <mergeCell ref="T45:U45"/>
    <mergeCell ref="V45:W45"/>
    <mergeCell ref="A46:S51"/>
    <mergeCell ref="T46:U51"/>
    <mergeCell ref="V46:W51"/>
    <mergeCell ref="A52:C52"/>
    <mergeCell ref="D52:T52"/>
    <mergeCell ref="U52:W52"/>
    <mergeCell ref="B44:F44"/>
    <mergeCell ref="I44:J44"/>
    <mergeCell ref="K44:L44"/>
    <mergeCell ref="M44:N44"/>
    <mergeCell ref="P44:S44"/>
    <mergeCell ref="A45:S45"/>
    <mergeCell ref="B42:F42"/>
    <mergeCell ref="I42:J42"/>
    <mergeCell ref="K42:L42"/>
    <mergeCell ref="M42:N42"/>
    <mergeCell ref="P42:S42"/>
    <mergeCell ref="B43:F43"/>
    <mergeCell ref="I43:J43"/>
    <mergeCell ref="K43:L43"/>
    <mergeCell ref="M43:N43"/>
    <mergeCell ref="P43:S43"/>
    <mergeCell ref="B40:F40"/>
    <mergeCell ref="I40:J40"/>
    <mergeCell ref="K40:L40"/>
    <mergeCell ref="M40:N40"/>
    <mergeCell ref="P40:S40"/>
    <mergeCell ref="B41:F41"/>
    <mergeCell ref="I41:J41"/>
    <mergeCell ref="K41:L41"/>
    <mergeCell ref="M41:N41"/>
    <mergeCell ref="P41:S41"/>
    <mergeCell ref="B38:F38"/>
    <mergeCell ref="I38:J38"/>
    <mergeCell ref="K38:L38"/>
    <mergeCell ref="M38:N38"/>
    <mergeCell ref="P38:S38"/>
    <mergeCell ref="B39:F39"/>
    <mergeCell ref="I39:J39"/>
    <mergeCell ref="K39:L39"/>
    <mergeCell ref="M39:N39"/>
    <mergeCell ref="P39:S39"/>
    <mergeCell ref="B36:F36"/>
    <mergeCell ref="I36:J36"/>
    <mergeCell ref="K36:L36"/>
    <mergeCell ref="M36:N36"/>
    <mergeCell ref="P36:S36"/>
    <mergeCell ref="B37:F37"/>
    <mergeCell ref="I37:J37"/>
    <mergeCell ref="K37:L37"/>
    <mergeCell ref="M37:N37"/>
    <mergeCell ref="P37:S37"/>
    <mergeCell ref="B34:F34"/>
    <mergeCell ref="I34:J34"/>
    <mergeCell ref="K34:L34"/>
    <mergeCell ref="M34:N34"/>
    <mergeCell ref="P34:S34"/>
    <mergeCell ref="B35:F35"/>
    <mergeCell ref="I35:J35"/>
    <mergeCell ref="K35:L35"/>
    <mergeCell ref="M35:N35"/>
    <mergeCell ref="P35:S35"/>
    <mergeCell ref="B32:F32"/>
    <mergeCell ref="I32:J32"/>
    <mergeCell ref="K32:L32"/>
    <mergeCell ref="M32:N32"/>
    <mergeCell ref="P32:S32"/>
    <mergeCell ref="B33:F33"/>
    <mergeCell ref="I33:J33"/>
    <mergeCell ref="K33:L33"/>
    <mergeCell ref="M33:N33"/>
    <mergeCell ref="P33:S33"/>
    <mergeCell ref="B30:F30"/>
    <mergeCell ref="I30:J30"/>
    <mergeCell ref="K30:L30"/>
    <mergeCell ref="M30:N30"/>
    <mergeCell ref="P30:S30"/>
    <mergeCell ref="B31:F31"/>
    <mergeCell ref="I31:J31"/>
    <mergeCell ref="K31:L31"/>
    <mergeCell ref="M31:N31"/>
    <mergeCell ref="P31:S31"/>
    <mergeCell ref="A28:O28"/>
    <mergeCell ref="P28:W28"/>
    <mergeCell ref="B29:F29"/>
    <mergeCell ref="I29:J29"/>
    <mergeCell ref="K29:L29"/>
    <mergeCell ref="M29:N29"/>
    <mergeCell ref="P29:S29"/>
    <mergeCell ref="B26:F26"/>
    <mergeCell ref="H26:I26"/>
    <mergeCell ref="J26:K26"/>
    <mergeCell ref="M26:W27"/>
    <mergeCell ref="B27:F27"/>
    <mergeCell ref="H27:I27"/>
    <mergeCell ref="J27:K27"/>
    <mergeCell ref="B24:F24"/>
    <mergeCell ref="H24:I24"/>
    <mergeCell ref="J24:K24"/>
    <mergeCell ref="B25:F25"/>
    <mergeCell ref="H25:I25"/>
    <mergeCell ref="J25:K25"/>
    <mergeCell ref="A21:J21"/>
    <mergeCell ref="B22:F22"/>
    <mergeCell ref="H22:I22"/>
    <mergeCell ref="J22:K22"/>
    <mergeCell ref="B23:F23"/>
    <mergeCell ref="H23:I23"/>
    <mergeCell ref="J23:K23"/>
    <mergeCell ref="A19:B19"/>
    <mergeCell ref="C19:I19"/>
    <mergeCell ref="J19:K19"/>
    <mergeCell ref="A20:B20"/>
    <mergeCell ref="C20:I20"/>
    <mergeCell ref="J20:K20"/>
    <mergeCell ref="A17:B17"/>
    <mergeCell ref="C17:I17"/>
    <mergeCell ref="J17:K17"/>
    <mergeCell ref="A18:B18"/>
    <mergeCell ref="C18:I18"/>
    <mergeCell ref="J18:K18"/>
    <mergeCell ref="A14:L14"/>
    <mergeCell ref="A15:B15"/>
    <mergeCell ref="C15:I15"/>
    <mergeCell ref="J15:K15"/>
    <mergeCell ref="A16:B16"/>
    <mergeCell ref="C16:I16"/>
    <mergeCell ref="J16:K16"/>
    <mergeCell ref="B12:D12"/>
    <mergeCell ref="E12:H12"/>
    <mergeCell ref="I12:J12"/>
    <mergeCell ref="K12:L12"/>
    <mergeCell ref="B13:D13"/>
    <mergeCell ref="E13:F13"/>
    <mergeCell ref="G13:L13"/>
    <mergeCell ref="E11:H11"/>
    <mergeCell ref="I11:J11"/>
    <mergeCell ref="K11:L11"/>
    <mergeCell ref="B8:D8"/>
    <mergeCell ref="E8:H8"/>
    <mergeCell ref="I8:J8"/>
    <mergeCell ref="K8:L8"/>
    <mergeCell ref="B9:D9"/>
    <mergeCell ref="E9:H9"/>
    <mergeCell ref="I9:J9"/>
    <mergeCell ref="K9:L9"/>
    <mergeCell ref="A1:W2"/>
    <mergeCell ref="A3:L3"/>
    <mergeCell ref="M3:W3"/>
    <mergeCell ref="A4:B4"/>
    <mergeCell ref="C4:F4"/>
    <mergeCell ref="G4:H4"/>
    <mergeCell ref="I4:J4"/>
    <mergeCell ref="K4:L4"/>
    <mergeCell ref="M4:W25"/>
    <mergeCell ref="A5:B5"/>
    <mergeCell ref="C5:F5"/>
    <mergeCell ref="G5:H5"/>
    <mergeCell ref="I5:J5"/>
    <mergeCell ref="K5:L5"/>
    <mergeCell ref="A6:L6"/>
    <mergeCell ref="B7:D7"/>
    <mergeCell ref="E7:H7"/>
    <mergeCell ref="I7:J7"/>
    <mergeCell ref="K7:L7"/>
    <mergeCell ref="B10:D10"/>
    <mergeCell ref="E10:H10"/>
    <mergeCell ref="I10:J10"/>
    <mergeCell ref="K10:L10"/>
    <mergeCell ref="B11:D11"/>
  </mergeCells>
  <conditionalFormatting sqref="I30:I44">
    <cfRule type="notContainsText" dxfId="7" priority="5" operator="notContains" text="N/A">
      <formula>ISERROR(SEARCH("N/A",I30))</formula>
    </cfRule>
  </conditionalFormatting>
  <conditionalFormatting sqref="G30:G44">
    <cfRule type="expression" dxfId="6" priority="1">
      <formula>AND(IF($A30&gt;10,1),IF($A30&lt;18,1),IF($G30=".015",1))</formula>
    </cfRule>
    <cfRule type="expression" dxfId="5" priority="4">
      <formula>AND(IF($A30&gt;10,1),IF($A30&lt;18,1),IF($G30=".015r",1))</formula>
    </cfRule>
  </conditionalFormatting>
  <conditionalFormatting sqref="T46 V46">
    <cfRule type="notContainsText" dxfId="4" priority="2" operator="notContains" text="N/A">
      <formula>ISERROR(SEARCH("N/A",T46))</formula>
    </cfRule>
    <cfRule type="containsText" dxfId="3" priority="3" operator="containsText" text="N/A">
      <formula>NOT(ISERROR(SEARCH("N/A",T46)))</formula>
    </cfRule>
  </conditionalFormatting>
  <pageMargins left="0" right="0" top="0" bottom="0" header="0.3" footer="0.3"/>
  <pageSetup paperSize="17" orientation="landscape" r:id="rId1"/>
  <ignoredErrors>
    <ignoredError sqref="B30:N44 B11:D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800-000000000000}">
          <x14:formula1>
            <xm:f>'Construction Sheet'!$M$2:$M$3</xm:f>
          </x14:formula1>
          <xm:sqref>B11:D11</xm:sqref>
        </x14:dataValidation>
        <x14:dataValidation type="list" allowBlank="1" xr:uid="{00000000-0002-0000-0800-000001000000}">
          <x14:formula1>
            <xm:f>'Construction Sheet'!$N$2</xm:f>
          </x14:formula1>
          <xm:sqref>B12:D12</xm:sqref>
        </x14:dataValidation>
        <x14:dataValidation type="list" allowBlank="1" xr:uid="{00000000-0002-0000-0800-000002000000}">
          <x14:formula1>
            <xm:f>'Construction Sheet'!$G$2:$G$4</xm:f>
          </x14:formula1>
          <xm:sqref>B13</xm:sqref>
        </x14:dataValidation>
        <x14:dataValidation type="list" allowBlank="1" xr:uid="{00000000-0002-0000-0800-000003000000}">
          <x14:formula1>
            <xm:f>'Construction Sheet'!$I$2:$I$5</xm:f>
          </x14:formula1>
          <xm:sqref>G5</xm:sqref>
        </x14:dataValidation>
        <x14:dataValidation type="list" allowBlank="1" xr:uid="{00000000-0002-0000-0800-000004000000}">
          <x14:formula1>
            <xm:f>'Construction Sheet'!$K$2:$K$3</xm:f>
          </x14:formula1>
          <xm:sqref>B8:B9</xm:sqref>
        </x14:dataValidation>
        <x14:dataValidation type="list" allowBlank="1" xr:uid="{00000000-0002-0000-0800-000005000000}">
          <x14:formula1>
            <xm:f>'Construction Sheet'!$L$2:$L$4</xm:f>
          </x14:formula1>
          <xm:sqref>B10</xm:sqref>
        </x14:dataValidation>
        <x14:dataValidation type="list" allowBlank="1" xr:uid="{00000000-0002-0000-0800-000006000000}">
          <x14:formula1>
            <xm:f>'Construction Sheet'!$H$2:$H$5</xm:f>
          </x14:formula1>
          <xm:sqref>A5:B5</xm:sqref>
        </x14:dataValidation>
        <x14:dataValidation type="list" allowBlank="1" showInputMessage="1" xr:uid="{00000000-0002-0000-0800-000007000000}">
          <x14:formula1>
            <xm:f>'Construction Sheet'!$K$29</xm:f>
          </x14:formula1>
          <xm:sqref>I5:J5</xm:sqref>
        </x14:dataValidation>
        <x14:dataValidation type="list" allowBlank="1" showInputMessage="1" xr:uid="{00000000-0002-0000-0800-000008000000}">
          <x14:formula1>
            <xm:f>'Construction Sheet'!$H$32:$H$38</xm:f>
          </x14:formula1>
          <xm:sqref>K30:L44</xm:sqref>
        </x14:dataValidation>
        <x14:dataValidation type="list" allowBlank="1" showInputMessage="1" xr:uid="{00000000-0002-0000-0800-000009000000}">
          <x14:formula1>
            <xm:f>'Construction Sheet'!$I$32:$I$36</xm:f>
          </x14:formula1>
          <xm:sqref>M30:N44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theme="1"/>
  </sheetPr>
  <dimension ref="A1:AT52"/>
  <sheetViews>
    <sheetView view="pageLayout" zoomScaleNormal="100" workbookViewId="0">
      <selection activeCell="M38" sqref="M38:N38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25" width="9.140625" style="1"/>
    <col min="26" max="26" width="10.140625" style="1" customWidth="1"/>
    <col min="27" max="16384" width="9.140625" style="1"/>
  </cols>
  <sheetData>
    <row r="1" spans="1:46" ht="12.75" customHeight="1" x14ac:dyDescent="0.25">
      <c r="A1" s="138" t="s">
        <v>63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5" customHeight="1" thickBot="1" x14ac:dyDescent="0.3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5.75" thickBot="1" x14ac:dyDescent="0.3">
      <c r="A3" s="165" t="s">
        <v>12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5"/>
      <c r="M3" s="165" t="s">
        <v>13</v>
      </c>
      <c r="N3" s="134"/>
      <c r="O3" s="134"/>
      <c r="P3" s="134"/>
      <c r="Q3" s="134"/>
      <c r="R3" s="134"/>
      <c r="S3" s="134"/>
      <c r="T3" s="134"/>
      <c r="U3" s="134"/>
      <c r="V3" s="134"/>
      <c r="W3" s="135"/>
      <c r="X3" s="12"/>
      <c r="Y3" s="13"/>
      <c r="Z3" s="13"/>
      <c r="AA3" s="13"/>
      <c r="AB3" s="13"/>
      <c r="AC3" s="13"/>
      <c r="AD3" s="12"/>
      <c r="AE3" s="13"/>
      <c r="AF3" s="13"/>
      <c r="AG3" s="13"/>
      <c r="AH3" s="13"/>
      <c r="AI3" s="13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x14ac:dyDescent="0.25">
      <c r="A4" s="148" t="s">
        <v>14</v>
      </c>
      <c r="B4" s="184"/>
      <c r="C4" s="148" t="s">
        <v>15</v>
      </c>
      <c r="D4" s="184"/>
      <c r="E4" s="184"/>
      <c r="F4" s="149"/>
      <c r="G4" s="148" t="s">
        <v>16</v>
      </c>
      <c r="H4" s="149"/>
      <c r="I4" s="148" t="s">
        <v>17</v>
      </c>
      <c r="J4" s="149"/>
      <c r="K4" s="148" t="s">
        <v>18</v>
      </c>
      <c r="L4" s="184"/>
      <c r="M4" s="178"/>
      <c r="N4" s="179"/>
      <c r="O4" s="179"/>
      <c r="P4" s="179"/>
      <c r="Q4" s="179"/>
      <c r="R4" s="179"/>
      <c r="S4" s="179"/>
      <c r="T4" s="179"/>
      <c r="U4" s="179"/>
      <c r="V4" s="179"/>
      <c r="W4" s="180"/>
      <c r="X4" s="15"/>
      <c r="Y4" s="14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.75" thickBot="1" x14ac:dyDescent="0.3">
      <c r="A5" s="160"/>
      <c r="B5" s="161"/>
      <c r="C5" s="157"/>
      <c r="D5" s="158"/>
      <c r="E5" s="158"/>
      <c r="F5" s="159"/>
      <c r="G5" s="160"/>
      <c r="H5" s="161"/>
      <c r="I5" s="160"/>
      <c r="J5" s="161"/>
      <c r="K5" s="160"/>
      <c r="L5" s="164"/>
      <c r="M5" s="181"/>
      <c r="N5" s="182"/>
      <c r="O5" s="182"/>
      <c r="P5" s="182"/>
      <c r="Q5" s="182"/>
      <c r="R5" s="182"/>
      <c r="S5" s="182"/>
      <c r="T5" s="182"/>
      <c r="U5" s="182"/>
      <c r="V5" s="182"/>
      <c r="W5" s="183"/>
      <c r="X5" s="15"/>
      <c r="Y5" s="14"/>
      <c r="Z5" s="14"/>
      <c r="AA5" s="14"/>
      <c r="AB5" s="14"/>
      <c r="AC5" s="14"/>
      <c r="AD5" s="16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ht="15.75" thickBot="1" x14ac:dyDescent="0.3">
      <c r="A6" s="162" t="s">
        <v>19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81"/>
      <c r="N6" s="182"/>
      <c r="O6" s="182"/>
      <c r="P6" s="182"/>
      <c r="Q6" s="182"/>
      <c r="R6" s="182"/>
      <c r="S6" s="182"/>
      <c r="T6" s="182"/>
      <c r="U6" s="182"/>
      <c r="V6" s="182"/>
      <c r="W6" s="183"/>
      <c r="X6" s="15"/>
      <c r="Y6" s="14"/>
      <c r="Z6" s="14"/>
      <c r="AA6" s="14"/>
      <c r="AB6" s="14"/>
      <c r="AC6" s="14"/>
      <c r="AD6" s="16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ht="15.75" thickBot="1" x14ac:dyDescent="0.3">
      <c r="A7" s="7" t="s">
        <v>20</v>
      </c>
      <c r="B7" s="140" t="s">
        <v>21</v>
      </c>
      <c r="C7" s="150"/>
      <c r="D7" s="141"/>
      <c r="E7" s="140" t="s">
        <v>22</v>
      </c>
      <c r="F7" s="150"/>
      <c r="G7" s="150"/>
      <c r="H7" s="141"/>
      <c r="I7" s="140" t="s">
        <v>23</v>
      </c>
      <c r="J7" s="141"/>
      <c r="K7" s="140" t="s">
        <v>24</v>
      </c>
      <c r="L7" s="150"/>
      <c r="M7" s="181"/>
      <c r="N7" s="182"/>
      <c r="O7" s="182"/>
      <c r="P7" s="182"/>
      <c r="Q7" s="182"/>
      <c r="R7" s="182"/>
      <c r="S7" s="182"/>
      <c r="T7" s="182"/>
      <c r="U7" s="182"/>
      <c r="V7" s="182"/>
      <c r="W7" s="183"/>
      <c r="X7" s="15"/>
      <c r="Y7" s="14"/>
      <c r="Z7" s="14"/>
      <c r="AA7" s="14"/>
      <c r="AB7" s="14"/>
      <c r="AC7" s="14"/>
      <c r="AD7" s="16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x14ac:dyDescent="0.25">
      <c r="A8" s="24" t="s">
        <v>25</v>
      </c>
      <c r="B8" s="175"/>
      <c r="C8" s="176"/>
      <c r="D8" s="177"/>
      <c r="E8" s="142"/>
      <c r="F8" s="151"/>
      <c r="G8" s="151"/>
      <c r="H8" s="143"/>
      <c r="I8" s="142"/>
      <c r="J8" s="173"/>
      <c r="K8" s="172"/>
      <c r="L8" s="143"/>
      <c r="M8" s="181"/>
      <c r="N8" s="182"/>
      <c r="O8" s="182"/>
      <c r="P8" s="182"/>
      <c r="Q8" s="182"/>
      <c r="R8" s="182"/>
      <c r="S8" s="182"/>
      <c r="T8" s="182"/>
      <c r="U8" s="182"/>
      <c r="V8" s="182"/>
      <c r="W8" s="183"/>
      <c r="X8" s="15"/>
      <c r="Y8" s="14"/>
      <c r="Z8" s="14"/>
      <c r="AA8" s="14"/>
      <c r="AB8" s="14"/>
      <c r="AC8" s="14"/>
      <c r="AD8" s="16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x14ac:dyDescent="0.25">
      <c r="A9" s="3" t="s">
        <v>26</v>
      </c>
      <c r="B9" s="128"/>
      <c r="C9" s="123"/>
      <c r="D9" s="124"/>
      <c r="E9" s="144"/>
      <c r="F9" s="152"/>
      <c r="G9" s="152"/>
      <c r="H9" s="145"/>
      <c r="I9" s="144"/>
      <c r="J9" s="174"/>
      <c r="K9" s="156"/>
      <c r="L9" s="145"/>
      <c r="M9" s="181"/>
      <c r="N9" s="182"/>
      <c r="O9" s="182"/>
      <c r="P9" s="182"/>
      <c r="Q9" s="182"/>
      <c r="R9" s="182"/>
      <c r="S9" s="182"/>
      <c r="T9" s="182"/>
      <c r="U9" s="182"/>
      <c r="V9" s="182"/>
      <c r="W9" s="183"/>
      <c r="X9" s="15"/>
      <c r="Y9" s="14"/>
      <c r="Z9" s="14"/>
      <c r="AA9" s="14"/>
      <c r="AB9" s="14"/>
      <c r="AC9" s="14"/>
      <c r="AD9" s="16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x14ac:dyDescent="0.25">
      <c r="A10" s="8" t="s">
        <v>27</v>
      </c>
      <c r="B10" s="127"/>
      <c r="C10" s="120"/>
      <c r="D10" s="121"/>
      <c r="E10" s="146"/>
      <c r="F10" s="153"/>
      <c r="G10" s="153"/>
      <c r="H10" s="147"/>
      <c r="I10" s="146"/>
      <c r="J10" s="188"/>
      <c r="K10" s="189"/>
      <c r="L10" s="147"/>
      <c r="M10" s="181"/>
      <c r="N10" s="182"/>
      <c r="O10" s="182"/>
      <c r="P10" s="182"/>
      <c r="Q10" s="182"/>
      <c r="R10" s="182"/>
      <c r="S10" s="182"/>
      <c r="T10" s="182"/>
      <c r="U10" s="182"/>
      <c r="V10" s="182"/>
      <c r="W10" s="183"/>
      <c r="X10" s="15"/>
      <c r="Y10" s="14"/>
      <c r="Z10" s="14"/>
      <c r="AA10" s="14"/>
      <c r="AB10" s="14"/>
      <c r="AC10" s="14"/>
      <c r="AD10" s="16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x14ac:dyDescent="0.25">
      <c r="A11" s="3" t="s">
        <v>28</v>
      </c>
      <c r="B11" s="128" t="str" cm="1">
        <f t="array" ref="B11">_xlfn.IFS(G5="VMC","N/A",G5="HBMX","",G5="Lathe","N/A",G5="VMC / Rotary A","",G5="","")</f>
        <v/>
      </c>
      <c r="C11" s="123"/>
      <c r="D11" s="124"/>
      <c r="E11" s="144"/>
      <c r="F11" s="152"/>
      <c r="G11" s="152"/>
      <c r="H11" s="145"/>
      <c r="I11" s="144"/>
      <c r="J11" s="174"/>
      <c r="K11" s="156"/>
      <c r="L11" s="145"/>
      <c r="M11" s="181"/>
      <c r="N11" s="182"/>
      <c r="O11" s="182"/>
      <c r="P11" s="182"/>
      <c r="Q11" s="182"/>
      <c r="R11" s="182"/>
      <c r="S11" s="182"/>
      <c r="T11" s="182"/>
      <c r="U11" s="182"/>
      <c r="V11" s="182"/>
      <c r="W11" s="183"/>
      <c r="X11" s="15"/>
      <c r="Y11" s="14"/>
      <c r="Z11" s="14"/>
      <c r="AA11" s="14"/>
      <c r="AB11" s="14"/>
      <c r="AC11" s="14"/>
      <c r="AD11" s="16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ht="15.75" thickBot="1" x14ac:dyDescent="0.3">
      <c r="A12" s="25" t="s">
        <v>29</v>
      </c>
      <c r="B12" s="191" t="str" cm="1">
        <f t="array" ref="B12">_xlfn.IFS(G5="VMC","N/A",G5="HBMX","",G5="Lathe","N/A",G5="VMC / Rotary A","N/A",G5="","")</f>
        <v/>
      </c>
      <c r="C12" s="192"/>
      <c r="D12" s="193"/>
      <c r="E12" s="186"/>
      <c r="F12" s="190"/>
      <c r="G12" s="190"/>
      <c r="H12" s="155"/>
      <c r="I12" s="186"/>
      <c r="J12" s="187"/>
      <c r="K12" s="154"/>
      <c r="L12" s="155"/>
      <c r="M12" s="181"/>
      <c r="N12" s="182"/>
      <c r="O12" s="182"/>
      <c r="P12" s="182"/>
      <c r="Q12" s="182"/>
      <c r="R12" s="182"/>
      <c r="S12" s="182"/>
      <c r="T12" s="182"/>
      <c r="U12" s="182"/>
      <c r="V12" s="182"/>
      <c r="W12" s="183"/>
      <c r="X12" s="15"/>
      <c r="Y12" s="14"/>
      <c r="Z12" s="14"/>
      <c r="AA12" s="14"/>
      <c r="AB12" s="14"/>
      <c r="AC12" s="14"/>
      <c r="AD12" s="16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ht="15.75" thickBot="1" x14ac:dyDescent="0.3">
      <c r="A13" s="7" t="s">
        <v>30</v>
      </c>
      <c r="B13" s="194"/>
      <c r="C13" s="195"/>
      <c r="D13" s="204"/>
      <c r="E13" s="202" t="s">
        <v>31</v>
      </c>
      <c r="F13" s="203"/>
      <c r="G13" s="194"/>
      <c r="H13" s="195"/>
      <c r="I13" s="195"/>
      <c r="J13" s="195"/>
      <c r="K13" s="195"/>
      <c r="L13" s="195"/>
      <c r="M13" s="181"/>
      <c r="N13" s="182"/>
      <c r="O13" s="182"/>
      <c r="P13" s="182"/>
      <c r="Q13" s="182"/>
      <c r="R13" s="182"/>
      <c r="S13" s="182"/>
      <c r="T13" s="182"/>
      <c r="U13" s="182"/>
      <c r="V13" s="182"/>
      <c r="W13" s="183"/>
      <c r="X13" s="15"/>
      <c r="Y13" s="14"/>
      <c r="Z13" s="14"/>
      <c r="AA13" s="14"/>
      <c r="AB13" s="14"/>
      <c r="AC13" s="14"/>
      <c r="AD13" s="16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ht="15.75" thickBot="1" x14ac:dyDescent="0.3">
      <c r="A14" s="165" t="s">
        <v>32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5"/>
      <c r="M14" s="181"/>
      <c r="N14" s="182"/>
      <c r="O14" s="182"/>
      <c r="P14" s="182"/>
      <c r="Q14" s="182"/>
      <c r="R14" s="182"/>
      <c r="S14" s="182"/>
      <c r="T14" s="182"/>
      <c r="U14" s="182"/>
      <c r="V14" s="182"/>
      <c r="W14" s="183"/>
      <c r="X14" s="15"/>
      <c r="Y14" s="14"/>
      <c r="Z14" s="14"/>
      <c r="AA14" s="14"/>
      <c r="AB14" s="14"/>
      <c r="AC14" s="14"/>
      <c r="AD14" s="16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ht="15.75" thickBot="1" x14ac:dyDescent="0.3">
      <c r="A15" s="140" t="s">
        <v>17</v>
      </c>
      <c r="B15" s="141"/>
      <c r="C15" s="150" t="s">
        <v>33</v>
      </c>
      <c r="D15" s="150"/>
      <c r="E15" s="150"/>
      <c r="F15" s="150"/>
      <c r="G15" s="150"/>
      <c r="H15" s="150"/>
      <c r="I15" s="141"/>
      <c r="J15" s="104" t="s">
        <v>34</v>
      </c>
      <c r="K15" s="106"/>
      <c r="L15" s="22" t="s">
        <v>35</v>
      </c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3"/>
      <c r="X15" s="15"/>
      <c r="Y15" s="14"/>
      <c r="Z15" s="14"/>
      <c r="AA15" s="14"/>
      <c r="AB15" s="14"/>
      <c r="AC15" s="14"/>
      <c r="AD15" s="16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25">
      <c r="A16" s="142"/>
      <c r="B16" s="143"/>
      <c r="C16" s="151"/>
      <c r="D16" s="151"/>
      <c r="E16" s="151"/>
      <c r="F16" s="151"/>
      <c r="G16" s="151"/>
      <c r="H16" s="151"/>
      <c r="I16" s="143"/>
      <c r="J16" s="107"/>
      <c r="K16" s="109"/>
      <c r="L16" s="6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3"/>
      <c r="X16" s="15"/>
      <c r="Y16" s="14"/>
      <c r="Z16" s="14"/>
      <c r="AA16" s="14"/>
      <c r="AB16" s="14"/>
      <c r="AC16" s="14"/>
      <c r="AD16" s="16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</row>
    <row r="17" spans="1:46" x14ac:dyDescent="0.25">
      <c r="A17" s="144"/>
      <c r="B17" s="145"/>
      <c r="C17" s="152"/>
      <c r="D17" s="152"/>
      <c r="E17" s="152"/>
      <c r="F17" s="152"/>
      <c r="G17" s="152"/>
      <c r="H17" s="152"/>
      <c r="I17" s="145"/>
      <c r="J17" s="110"/>
      <c r="K17" s="112"/>
      <c r="L17" s="4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3"/>
      <c r="X17" s="15"/>
      <c r="Y17" s="14"/>
      <c r="Z17" s="14"/>
      <c r="AA17" s="14"/>
      <c r="AB17" s="14"/>
      <c r="AC17" s="14"/>
      <c r="AD17" s="16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</row>
    <row r="18" spans="1:46" x14ac:dyDescent="0.25">
      <c r="A18" s="146"/>
      <c r="B18" s="147"/>
      <c r="C18" s="153"/>
      <c r="D18" s="153"/>
      <c r="E18" s="153"/>
      <c r="F18" s="153"/>
      <c r="G18" s="153"/>
      <c r="H18" s="153"/>
      <c r="I18" s="147"/>
      <c r="J18" s="113"/>
      <c r="K18" s="115"/>
      <c r="L18" s="5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3"/>
      <c r="X18" s="15"/>
      <c r="Y18" s="14"/>
      <c r="Z18" s="14"/>
      <c r="AA18" s="14"/>
      <c r="AB18" s="14"/>
      <c r="AC18" s="14"/>
      <c r="AD18" s="16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</row>
    <row r="19" spans="1:46" x14ac:dyDescent="0.25">
      <c r="A19" s="144"/>
      <c r="B19" s="145"/>
      <c r="C19" s="152"/>
      <c r="D19" s="152"/>
      <c r="E19" s="152"/>
      <c r="F19" s="152"/>
      <c r="G19" s="152"/>
      <c r="H19" s="152"/>
      <c r="I19" s="145"/>
      <c r="J19" s="110"/>
      <c r="K19" s="112"/>
      <c r="L19" s="4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3"/>
      <c r="X19" s="15"/>
      <c r="Y19" s="14"/>
      <c r="Z19" s="14"/>
      <c r="AA19" s="14"/>
      <c r="AB19" s="14"/>
      <c r="AC19" s="14"/>
      <c r="AD19" s="16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</row>
    <row r="20" spans="1:46" ht="15.75" thickBot="1" x14ac:dyDescent="0.3">
      <c r="A20" s="146"/>
      <c r="B20" s="147"/>
      <c r="C20" s="153"/>
      <c r="D20" s="153"/>
      <c r="E20" s="153"/>
      <c r="F20" s="153"/>
      <c r="G20" s="153"/>
      <c r="H20" s="153"/>
      <c r="I20" s="147"/>
      <c r="J20" s="113"/>
      <c r="K20" s="115"/>
      <c r="L20" s="5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3"/>
      <c r="X20" s="15"/>
      <c r="Y20" s="14"/>
      <c r="Z20" s="14"/>
      <c r="AA20" s="14"/>
      <c r="AB20" s="14"/>
      <c r="AC20" s="14"/>
      <c r="AD20" s="16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5.75" thickBot="1" x14ac:dyDescent="0.3">
      <c r="A21" s="162" t="s">
        <v>36</v>
      </c>
      <c r="B21" s="196"/>
      <c r="C21" s="196"/>
      <c r="D21" s="196"/>
      <c r="E21" s="196"/>
      <c r="F21" s="196"/>
      <c r="G21" s="163"/>
      <c r="H21" s="163"/>
      <c r="I21" s="163"/>
      <c r="J21" s="197"/>
      <c r="K21" s="49"/>
      <c r="L21" s="50"/>
      <c r="M21" s="181"/>
      <c r="N21" s="182"/>
      <c r="O21" s="182"/>
      <c r="P21" s="182"/>
      <c r="Q21" s="182"/>
      <c r="R21" s="182"/>
      <c r="S21" s="182"/>
      <c r="T21" s="182"/>
      <c r="U21" s="182"/>
      <c r="V21" s="182"/>
      <c r="W21" s="183"/>
      <c r="X21" s="15"/>
      <c r="Y21" s="14"/>
      <c r="Z21" s="14"/>
      <c r="AA21" s="14"/>
      <c r="AB21" s="14"/>
      <c r="AC21" s="14"/>
      <c r="AD21" s="16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</row>
    <row r="22" spans="1:46" ht="15.75" thickBot="1" x14ac:dyDescent="0.3">
      <c r="A22" s="40" t="s">
        <v>37</v>
      </c>
      <c r="B22" s="104" t="s">
        <v>17</v>
      </c>
      <c r="C22" s="105"/>
      <c r="D22" s="105"/>
      <c r="E22" s="105"/>
      <c r="F22" s="106"/>
      <c r="G22" s="43" t="s">
        <v>38</v>
      </c>
      <c r="H22" s="140" t="s">
        <v>39</v>
      </c>
      <c r="I22" s="141"/>
      <c r="J22" s="140" t="s">
        <v>34</v>
      </c>
      <c r="K22" s="141"/>
      <c r="L22" s="41" t="s">
        <v>35</v>
      </c>
      <c r="M22" s="181"/>
      <c r="N22" s="182"/>
      <c r="O22" s="182"/>
      <c r="P22" s="182"/>
      <c r="Q22" s="182"/>
      <c r="R22" s="182"/>
      <c r="S22" s="182"/>
      <c r="T22" s="182"/>
      <c r="U22" s="182"/>
      <c r="V22" s="182"/>
      <c r="W22" s="183"/>
      <c r="X22" s="15"/>
      <c r="Y22" s="14"/>
      <c r="Z22" s="14"/>
      <c r="AA22" s="14"/>
      <c r="AB22" s="14"/>
      <c r="AC22" s="14"/>
      <c r="AD22" s="16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x14ac:dyDescent="0.25">
      <c r="A23" s="26">
        <v>1</v>
      </c>
      <c r="B23" s="107"/>
      <c r="C23" s="108"/>
      <c r="D23" s="108"/>
      <c r="E23" s="108"/>
      <c r="F23" s="109"/>
      <c r="G23" s="34"/>
      <c r="H23" s="142"/>
      <c r="I23" s="143"/>
      <c r="J23" s="142"/>
      <c r="K23" s="143"/>
      <c r="L23" s="51"/>
      <c r="M23" s="181"/>
      <c r="N23" s="182"/>
      <c r="O23" s="182"/>
      <c r="P23" s="182"/>
      <c r="Q23" s="182"/>
      <c r="R23" s="182"/>
      <c r="S23" s="182"/>
      <c r="T23" s="182"/>
      <c r="U23" s="182"/>
      <c r="V23" s="182"/>
      <c r="W23" s="183"/>
      <c r="X23" s="15"/>
      <c r="Y23" s="14"/>
      <c r="Z23" s="14"/>
      <c r="AA23" s="14"/>
      <c r="AB23" s="14"/>
      <c r="AC23" s="14"/>
      <c r="AD23" s="16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</row>
    <row r="24" spans="1:46" x14ac:dyDescent="0.25">
      <c r="A24" s="27">
        <v>2</v>
      </c>
      <c r="B24" s="110"/>
      <c r="C24" s="111"/>
      <c r="D24" s="111"/>
      <c r="E24" s="111"/>
      <c r="F24" s="112"/>
      <c r="G24" s="44"/>
      <c r="H24" s="144"/>
      <c r="I24" s="145"/>
      <c r="J24" s="144"/>
      <c r="K24" s="145"/>
      <c r="L24" s="42"/>
      <c r="M24" s="181"/>
      <c r="N24" s="182"/>
      <c r="O24" s="182"/>
      <c r="P24" s="182"/>
      <c r="Q24" s="182"/>
      <c r="R24" s="182"/>
      <c r="S24" s="182"/>
      <c r="T24" s="182"/>
      <c r="U24" s="182"/>
      <c r="V24" s="182"/>
      <c r="W24" s="183"/>
      <c r="X24" s="15"/>
      <c r="Y24" s="14"/>
      <c r="Z24" s="14"/>
      <c r="AA24" s="14"/>
      <c r="AB24" s="14"/>
      <c r="AC24" s="14"/>
      <c r="AD24" s="16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</row>
    <row r="25" spans="1:46" x14ac:dyDescent="0.25">
      <c r="A25" s="28">
        <v>3</v>
      </c>
      <c r="B25" s="113"/>
      <c r="C25" s="114"/>
      <c r="D25" s="114"/>
      <c r="E25" s="114"/>
      <c r="F25" s="115"/>
      <c r="G25" s="38"/>
      <c r="H25" s="146"/>
      <c r="I25" s="147"/>
      <c r="J25" s="146"/>
      <c r="K25" s="147"/>
      <c r="L25" s="39"/>
      <c r="M25" s="181"/>
      <c r="N25" s="182"/>
      <c r="O25" s="182"/>
      <c r="P25" s="182"/>
      <c r="Q25" s="182"/>
      <c r="R25" s="182"/>
      <c r="S25" s="182"/>
      <c r="T25" s="182"/>
      <c r="U25" s="182"/>
      <c r="V25" s="182"/>
      <c r="W25" s="183"/>
      <c r="X25" s="15"/>
      <c r="Y25" s="14"/>
      <c r="Z25" s="14"/>
      <c r="AA25" s="14"/>
      <c r="AB25" s="14"/>
      <c r="AC25" s="14"/>
      <c r="AD25" s="16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</row>
    <row r="26" spans="1:46" ht="15" customHeight="1" x14ac:dyDescent="0.25">
      <c r="A26" s="27">
        <v>4</v>
      </c>
      <c r="B26" s="110"/>
      <c r="C26" s="111"/>
      <c r="D26" s="111"/>
      <c r="E26" s="111"/>
      <c r="F26" s="112"/>
      <c r="G26" s="44"/>
      <c r="H26" s="144"/>
      <c r="I26" s="145"/>
      <c r="J26" s="144"/>
      <c r="K26" s="145"/>
      <c r="L26" s="42"/>
      <c r="M26" s="166" t="s">
        <v>40</v>
      </c>
      <c r="N26" s="167"/>
      <c r="O26" s="167"/>
      <c r="P26" s="167"/>
      <c r="Q26" s="167"/>
      <c r="R26" s="167"/>
      <c r="S26" s="167"/>
      <c r="T26" s="167"/>
      <c r="U26" s="167"/>
      <c r="V26" s="167"/>
      <c r="W26" s="168"/>
      <c r="X26" s="15"/>
      <c r="Y26" s="14"/>
      <c r="Z26" s="14"/>
      <c r="AA26" s="14"/>
      <c r="AB26" s="14"/>
      <c r="AC26" s="14"/>
      <c r="AD26" s="16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</row>
    <row r="27" spans="1:46" ht="15.75" customHeight="1" thickBot="1" x14ac:dyDescent="0.3">
      <c r="A27" s="29">
        <v>5</v>
      </c>
      <c r="B27" s="116"/>
      <c r="C27" s="117"/>
      <c r="D27" s="117"/>
      <c r="E27" s="117"/>
      <c r="F27" s="118"/>
      <c r="G27" s="46"/>
      <c r="H27" s="186"/>
      <c r="I27" s="155"/>
      <c r="J27" s="186"/>
      <c r="K27" s="155"/>
      <c r="L27" s="45"/>
      <c r="M27" s="169"/>
      <c r="N27" s="170"/>
      <c r="O27" s="170"/>
      <c r="P27" s="170"/>
      <c r="Q27" s="170"/>
      <c r="R27" s="170"/>
      <c r="S27" s="170"/>
      <c r="T27" s="170"/>
      <c r="U27" s="170"/>
      <c r="V27" s="170"/>
      <c r="W27" s="171"/>
      <c r="X27" s="15"/>
      <c r="Y27" s="14"/>
      <c r="Z27" s="14"/>
      <c r="AA27" s="14"/>
      <c r="AB27" s="14"/>
      <c r="AC27" s="14"/>
      <c r="AD27" s="16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</row>
    <row r="28" spans="1:46" ht="15.75" thickBot="1" x14ac:dyDescent="0.3">
      <c r="A28" s="165" t="s">
        <v>41</v>
      </c>
      <c r="B28" s="198"/>
      <c r="C28" s="198"/>
      <c r="D28" s="198"/>
      <c r="E28" s="198"/>
      <c r="F28" s="198"/>
      <c r="G28" s="134"/>
      <c r="H28" s="134"/>
      <c r="I28" s="134"/>
      <c r="J28" s="134"/>
      <c r="K28" s="134"/>
      <c r="L28" s="134"/>
      <c r="M28" s="134"/>
      <c r="N28" s="134"/>
      <c r="O28" s="134"/>
      <c r="P28" s="133" t="s">
        <v>42</v>
      </c>
      <c r="Q28" s="134"/>
      <c r="R28" s="134"/>
      <c r="S28" s="134"/>
      <c r="T28" s="134"/>
      <c r="U28" s="134"/>
      <c r="V28" s="134"/>
      <c r="W28" s="135"/>
      <c r="X28" s="15"/>
      <c r="Y28" s="14"/>
      <c r="Z28" s="14"/>
      <c r="AA28" s="14"/>
      <c r="AB28" s="14"/>
      <c r="AC28" s="14"/>
      <c r="AD28" s="16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</row>
    <row r="29" spans="1:46" x14ac:dyDescent="0.25">
      <c r="A29" s="36" t="s">
        <v>38</v>
      </c>
      <c r="B29" s="178" t="s">
        <v>43</v>
      </c>
      <c r="C29" s="179"/>
      <c r="D29" s="179"/>
      <c r="E29" s="179"/>
      <c r="F29" s="180"/>
      <c r="G29" s="35" t="s">
        <v>44</v>
      </c>
      <c r="H29" s="36" t="s">
        <v>45</v>
      </c>
      <c r="I29" s="125" t="s">
        <v>46</v>
      </c>
      <c r="J29" s="126"/>
      <c r="K29" s="125" t="s">
        <v>47</v>
      </c>
      <c r="L29" s="126"/>
      <c r="M29" s="125" t="s">
        <v>48</v>
      </c>
      <c r="N29" s="126"/>
      <c r="O29" s="10" t="s">
        <v>49</v>
      </c>
      <c r="P29" s="136" t="s">
        <v>50</v>
      </c>
      <c r="Q29" s="137"/>
      <c r="R29" s="137"/>
      <c r="S29" s="126"/>
      <c r="T29" s="36" t="s">
        <v>51</v>
      </c>
      <c r="U29" s="36" t="s">
        <v>52</v>
      </c>
      <c r="V29" s="36" t="s">
        <v>35</v>
      </c>
      <c r="W29" s="35" t="s">
        <v>24</v>
      </c>
      <c r="X29" s="15"/>
      <c r="Y29" s="14"/>
      <c r="Z29" s="14"/>
      <c r="AA29" s="14"/>
      <c r="AB29" s="14"/>
      <c r="AC29" s="14"/>
      <c r="AD29" s="16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</row>
    <row r="30" spans="1:46" x14ac:dyDescent="0.25">
      <c r="A30" s="33"/>
      <c r="B30" s="199" t="str">
        <f>_xlfn.IFNA(VLOOKUP(A30,'Construction Sheet'!$A$3:$D$50,2,FALSE), "")</f>
        <v/>
      </c>
      <c r="C30" s="200"/>
      <c r="D30" s="200"/>
      <c r="E30" s="200"/>
      <c r="F30" s="201"/>
      <c r="G30" s="33" t="str">
        <f>_xlfn.IFNA(VLOOKUP(A30,'Construction Sheet'!$A$3:$D$50,3,FALSE),"")</f>
        <v/>
      </c>
      <c r="H30" s="33"/>
      <c r="I30" s="127" t="str">
        <f>IF($B30="","",IF(10&lt;$A30,IF($A30&lt;18,".002","N/A"),"N/A"))</f>
        <v/>
      </c>
      <c r="J30" s="121"/>
      <c r="K30" s="127" t="str">
        <f>IF($B30="","",IF($A30&gt;=1,IF($A30&lt;=33,VLOOKUP('Extra Tools &amp; No Notes'!$A30,'Construction Sheet'!$A$2:$F$35,5),""),""))</f>
        <v/>
      </c>
      <c r="L30" s="121"/>
      <c r="M30" s="127" t="str">
        <f>IF($B30="","",IF($A30&gt;=1,IF($A30&lt;=33,VLOOKUP('Extra Tools &amp; No Notes'!$A30,'Construction Sheet'!$A$2:$F$35,6),""),""))</f>
        <v/>
      </c>
      <c r="N30" s="121"/>
      <c r="O30" s="32"/>
      <c r="P30" s="119"/>
      <c r="Q30" s="120"/>
      <c r="R30" s="120"/>
      <c r="S30" s="121"/>
      <c r="T30" s="33"/>
      <c r="U30" s="33"/>
      <c r="V30" s="33"/>
      <c r="W30" s="33"/>
      <c r="X30" s="15"/>
      <c r="Y30" s="14"/>
      <c r="Z30" s="14"/>
      <c r="AA30" s="14"/>
      <c r="AB30" s="14"/>
      <c r="AC30" s="14"/>
      <c r="AD30" s="16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</row>
    <row r="31" spans="1:46" ht="15" customHeight="1" x14ac:dyDescent="0.25">
      <c r="A31" s="31"/>
      <c r="B31" s="205" t="str">
        <f>_xlfn.IFNA(VLOOKUP(A31,'Construction Sheet'!$A$3:$D$50,2,FALSE), "")</f>
        <v/>
      </c>
      <c r="C31" s="206"/>
      <c r="D31" s="206"/>
      <c r="E31" s="206"/>
      <c r="F31" s="207"/>
      <c r="G31" s="31" t="str">
        <f>_xlfn.IFNA(VLOOKUP(A31,'Construction Sheet'!$A$3:$D$50,3,FALSE),"")</f>
        <v/>
      </c>
      <c r="H31" s="31"/>
      <c r="I31" s="128" t="str">
        <f t="shared" ref="I31:I51" si="0">IF($B31="","",IF(10&lt;$A31,IF($A31&lt;18,".002","N/A"),"N/A"))</f>
        <v/>
      </c>
      <c r="J31" s="124"/>
      <c r="K31" s="128" t="str">
        <f>IF($B31="","",IF($A31&gt;=1,IF($A31&lt;=33,VLOOKUP('Extra Tools &amp; No Notes'!$A31,'Construction Sheet'!$A$2:$F$35,5),""),""))</f>
        <v/>
      </c>
      <c r="L31" s="124"/>
      <c r="M31" s="128" t="str">
        <f>IF($B31="","",IF($A31&gt;=1,IF($A31&lt;=33,VLOOKUP('Extra Tools &amp; No Notes'!$A31,'Construction Sheet'!$A$2:$F$35,6),""),""))</f>
        <v/>
      </c>
      <c r="N31" s="124"/>
      <c r="O31" s="30"/>
      <c r="P31" s="122"/>
      <c r="Q31" s="123"/>
      <c r="R31" s="123"/>
      <c r="S31" s="124"/>
      <c r="T31" s="31"/>
      <c r="U31" s="31"/>
      <c r="V31" s="31"/>
      <c r="W31" s="31"/>
      <c r="X31" s="15"/>
      <c r="Y31" s="14"/>
      <c r="Z31" s="14"/>
      <c r="AA31" s="14"/>
      <c r="AB31" s="14"/>
      <c r="AC31" s="14"/>
      <c r="AD31" s="16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33"/>
      <c r="B32" s="199" t="str">
        <f>_xlfn.IFNA(VLOOKUP(A32,'Construction Sheet'!$A$3:$D$50,2,FALSE), "")</f>
        <v/>
      </c>
      <c r="C32" s="200"/>
      <c r="D32" s="200"/>
      <c r="E32" s="200"/>
      <c r="F32" s="201"/>
      <c r="G32" s="33" t="str">
        <f>_xlfn.IFNA(VLOOKUP(A32,'Construction Sheet'!$A$3:$D$50,3,FALSE),"")</f>
        <v/>
      </c>
      <c r="H32" s="33"/>
      <c r="I32" s="127" t="str">
        <f t="shared" si="0"/>
        <v/>
      </c>
      <c r="J32" s="121"/>
      <c r="K32" s="127" t="str">
        <f>IF($B32="","",IF($A32&gt;=1,IF($A32&lt;=33,VLOOKUP('Extra Tools &amp; No Notes'!$A32,'Construction Sheet'!$A$2:$F$35,5),""),""))</f>
        <v/>
      </c>
      <c r="L32" s="121"/>
      <c r="M32" s="127" t="str">
        <f>IF($B32="","",IF($A32&gt;=1,IF($A32&lt;=33,VLOOKUP('Extra Tools &amp; No Notes'!$A32,'Construction Sheet'!$A$2:$F$35,6),""),""))</f>
        <v/>
      </c>
      <c r="N32" s="121"/>
      <c r="O32" s="32"/>
      <c r="P32" s="119"/>
      <c r="Q32" s="120"/>
      <c r="R32" s="120"/>
      <c r="S32" s="121"/>
      <c r="T32" s="33"/>
      <c r="U32" s="33"/>
      <c r="V32" s="33"/>
      <c r="W32" s="33"/>
      <c r="X32" s="15"/>
      <c r="Y32" s="14"/>
      <c r="Z32" s="14"/>
      <c r="AA32" s="14"/>
      <c r="AB32" s="14"/>
      <c r="AC32" s="14"/>
      <c r="AD32" s="16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A33" s="31"/>
      <c r="B33" s="205" t="str">
        <f>_xlfn.IFNA(VLOOKUP(A33,'Construction Sheet'!$A$3:$D$50,2,FALSE), "")</f>
        <v/>
      </c>
      <c r="C33" s="206"/>
      <c r="D33" s="206"/>
      <c r="E33" s="206"/>
      <c r="F33" s="207"/>
      <c r="G33" s="31" t="str">
        <f>_xlfn.IFNA(VLOOKUP(A33,'Construction Sheet'!$A$3:$D$50,3,FALSE),"")</f>
        <v/>
      </c>
      <c r="H33" s="31"/>
      <c r="I33" s="128" t="str">
        <f t="shared" si="0"/>
        <v/>
      </c>
      <c r="J33" s="124"/>
      <c r="K33" s="128" t="str">
        <f>IF($B33="","",IF($A33&gt;=1,IF($A33&lt;=33,VLOOKUP('Extra Tools &amp; No Notes'!$A33,'Construction Sheet'!$A$2:$F$35,5),""),""))</f>
        <v/>
      </c>
      <c r="L33" s="124"/>
      <c r="M33" s="128" t="str">
        <f>IF($B33="","",IF($A33&gt;=1,IF($A33&lt;=33,VLOOKUP('Extra Tools &amp; No Notes'!$A33,'Construction Sheet'!$A$2:$F$35,6),""),""))</f>
        <v/>
      </c>
      <c r="N33" s="124"/>
      <c r="O33" s="30"/>
      <c r="P33" s="122"/>
      <c r="Q33" s="123"/>
      <c r="R33" s="123"/>
      <c r="S33" s="124"/>
      <c r="T33" s="31"/>
      <c r="U33" s="31"/>
      <c r="V33" s="31"/>
      <c r="W33" s="31"/>
      <c r="X33" s="15"/>
      <c r="Y33" s="14"/>
      <c r="Z33" s="14"/>
      <c r="AA33" s="14"/>
      <c r="AB33" s="14"/>
      <c r="AC33" s="14"/>
      <c r="AD33" s="16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25">
      <c r="A34" s="33"/>
      <c r="B34" s="199" t="str">
        <f>_xlfn.IFNA(VLOOKUP(A34,'Construction Sheet'!$A$3:$D$50,2,FALSE), "")</f>
        <v/>
      </c>
      <c r="C34" s="200"/>
      <c r="D34" s="200"/>
      <c r="E34" s="200"/>
      <c r="F34" s="201"/>
      <c r="G34" s="33" t="str">
        <f>_xlfn.IFNA(VLOOKUP(A34,'Construction Sheet'!$A$3:$D$50,3,FALSE),"")</f>
        <v/>
      </c>
      <c r="H34" s="33"/>
      <c r="I34" s="127" t="str">
        <f t="shared" si="0"/>
        <v/>
      </c>
      <c r="J34" s="121"/>
      <c r="K34" s="127" t="str">
        <f>IF($B34="","",IF($A34&gt;=1,IF($A34&lt;=33,VLOOKUP('Extra Tools &amp; No Notes'!$A34,'Construction Sheet'!$A$2:$F$35,5),""),""))</f>
        <v/>
      </c>
      <c r="L34" s="121"/>
      <c r="M34" s="127" t="str">
        <f>IF($B34="","",IF($A34&gt;=1,IF($A34&lt;=33,VLOOKUP('Extra Tools &amp; No Notes'!$A34,'Construction Sheet'!$A$2:$F$35,6),""),""))</f>
        <v/>
      </c>
      <c r="N34" s="121"/>
      <c r="O34" s="32"/>
      <c r="P34" s="119"/>
      <c r="Q34" s="120"/>
      <c r="R34" s="120"/>
      <c r="S34" s="121"/>
      <c r="T34" s="33"/>
      <c r="U34" s="33"/>
      <c r="V34" s="33"/>
      <c r="W34" s="33"/>
      <c r="X34" s="15"/>
      <c r="Y34" s="14"/>
      <c r="Z34" s="14"/>
      <c r="AA34" s="14"/>
      <c r="AB34" s="14"/>
      <c r="AC34" s="14"/>
      <c r="AD34" s="16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25">
      <c r="A35" s="31"/>
      <c r="B35" s="205" t="str">
        <f>_xlfn.IFNA(VLOOKUP(A35,'Construction Sheet'!$A$3:$D$50,2,FALSE), "")</f>
        <v/>
      </c>
      <c r="C35" s="206"/>
      <c r="D35" s="206"/>
      <c r="E35" s="206"/>
      <c r="F35" s="207"/>
      <c r="G35" s="31" t="str">
        <f>_xlfn.IFNA(VLOOKUP(A35,'Construction Sheet'!$A$3:$D$50,3,FALSE),"")</f>
        <v/>
      </c>
      <c r="H35" s="31"/>
      <c r="I35" s="128" t="str">
        <f t="shared" si="0"/>
        <v/>
      </c>
      <c r="J35" s="124"/>
      <c r="K35" s="128" t="str">
        <f>IF($B35="","",IF($A35&gt;=1,IF($A35&lt;=33,VLOOKUP('Extra Tools &amp; No Notes'!$A35,'Construction Sheet'!$A$2:$F$35,5),""),""))</f>
        <v/>
      </c>
      <c r="L35" s="124"/>
      <c r="M35" s="128" t="str">
        <f>IF($B35="","",IF($A35&gt;=1,IF($A35&lt;=33,VLOOKUP('Extra Tools &amp; No Notes'!$A35,'Construction Sheet'!$A$2:$F$35,6),""),""))</f>
        <v/>
      </c>
      <c r="N35" s="124"/>
      <c r="O35" s="30"/>
      <c r="P35" s="122"/>
      <c r="Q35" s="123"/>
      <c r="R35" s="123"/>
      <c r="S35" s="124"/>
      <c r="T35" s="31"/>
      <c r="U35" s="31"/>
      <c r="V35" s="31"/>
      <c r="W35" s="31"/>
      <c r="X35" s="15"/>
      <c r="Y35" s="14"/>
      <c r="Z35" s="14"/>
      <c r="AA35" s="14"/>
      <c r="AB35" s="14"/>
      <c r="AC35" s="14"/>
      <c r="AD35" s="16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25">
      <c r="A36" s="33"/>
      <c r="B36" s="199" t="str">
        <f>_xlfn.IFNA(VLOOKUP(A36,'Construction Sheet'!$A$3:$D$50,2,FALSE), "")</f>
        <v/>
      </c>
      <c r="C36" s="200"/>
      <c r="D36" s="200"/>
      <c r="E36" s="200"/>
      <c r="F36" s="201"/>
      <c r="G36" s="33" t="str">
        <f>_xlfn.IFNA(VLOOKUP(A36,'Construction Sheet'!$A$3:$D$50,3,FALSE),"")</f>
        <v/>
      </c>
      <c r="H36" s="33"/>
      <c r="I36" s="127" t="str">
        <f t="shared" si="0"/>
        <v/>
      </c>
      <c r="J36" s="121"/>
      <c r="K36" s="127" t="str">
        <f>IF($B36="","",IF($A36&gt;=1,IF($A36&lt;=33,VLOOKUP('Extra Tools &amp; No Notes'!$A36,'Construction Sheet'!$A$2:$F$35,5),""),""))</f>
        <v/>
      </c>
      <c r="L36" s="121"/>
      <c r="M36" s="127" t="str">
        <f>IF($B36="","",IF($A36&gt;=1,IF($A36&lt;=33,VLOOKUP('Extra Tools &amp; No Notes'!$A36,'Construction Sheet'!$A$2:$F$35,6),""),""))</f>
        <v/>
      </c>
      <c r="N36" s="121"/>
      <c r="O36" s="32"/>
      <c r="P36" s="119"/>
      <c r="Q36" s="120"/>
      <c r="R36" s="120"/>
      <c r="S36" s="121"/>
      <c r="T36" s="33"/>
      <c r="U36" s="33"/>
      <c r="V36" s="33"/>
      <c r="W36" s="33"/>
      <c r="X36" s="15"/>
      <c r="Y36" s="14"/>
      <c r="Z36" s="14"/>
      <c r="AA36" s="14"/>
      <c r="AB36" s="14"/>
      <c r="AC36" s="14"/>
      <c r="AD36" s="16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25">
      <c r="A37" s="31"/>
      <c r="B37" s="205" t="str">
        <f>_xlfn.IFNA(VLOOKUP(A37,'Construction Sheet'!$A$3:$D$50,2,FALSE), "")</f>
        <v/>
      </c>
      <c r="C37" s="206"/>
      <c r="D37" s="206"/>
      <c r="E37" s="206"/>
      <c r="F37" s="207"/>
      <c r="G37" s="31" t="str">
        <f>_xlfn.IFNA(VLOOKUP(A37,'Construction Sheet'!$A$3:$D$50,3,FALSE),"")</f>
        <v/>
      </c>
      <c r="H37" s="31"/>
      <c r="I37" s="128" t="str">
        <f t="shared" si="0"/>
        <v/>
      </c>
      <c r="J37" s="124"/>
      <c r="K37" s="128" t="str">
        <f>IF($B37="","",IF($A37&gt;=1,IF($A37&lt;=33,VLOOKUP('Extra Tools &amp; No Notes'!$A37,'Construction Sheet'!$A$2:$F$35,5),""),""))</f>
        <v/>
      </c>
      <c r="L37" s="124"/>
      <c r="M37" s="128" t="str">
        <f>IF($B37="","",IF($A37&gt;=1,IF($A37&lt;=33,VLOOKUP('Extra Tools &amp; No Notes'!$A37,'Construction Sheet'!$A$2:$F$35,6),""),""))</f>
        <v/>
      </c>
      <c r="N37" s="124"/>
      <c r="O37" s="30"/>
      <c r="P37" s="122"/>
      <c r="Q37" s="123"/>
      <c r="R37" s="123"/>
      <c r="S37" s="124"/>
      <c r="T37" s="31"/>
      <c r="U37" s="31"/>
      <c r="V37" s="31"/>
      <c r="W37" s="31"/>
      <c r="X37" s="15"/>
      <c r="Y37" s="14"/>
      <c r="Z37" s="14"/>
      <c r="AA37" s="14"/>
      <c r="AB37" s="14"/>
      <c r="AC37" s="14"/>
      <c r="AD37" s="16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x14ac:dyDescent="0.25">
      <c r="A38" s="33"/>
      <c r="B38" s="199" t="str">
        <f>_xlfn.IFNA(VLOOKUP(A38,'Construction Sheet'!$A$3:$D$50,2,FALSE), "")</f>
        <v/>
      </c>
      <c r="C38" s="200"/>
      <c r="D38" s="200"/>
      <c r="E38" s="200"/>
      <c r="F38" s="201"/>
      <c r="G38" s="33" t="str">
        <f>_xlfn.IFNA(VLOOKUP(A38,'Construction Sheet'!$A$3:$D$50,3,FALSE),"")</f>
        <v/>
      </c>
      <c r="H38" s="33"/>
      <c r="I38" s="127" t="str">
        <f t="shared" si="0"/>
        <v/>
      </c>
      <c r="J38" s="121"/>
      <c r="K38" s="127" t="str">
        <f>IF($B38="","",IF($A38&gt;=1,IF($A38&lt;=33,VLOOKUP('Extra Tools &amp; No Notes'!$A38,'Construction Sheet'!$A$2:$F$35,5),""),""))</f>
        <v/>
      </c>
      <c r="L38" s="121"/>
      <c r="M38" s="127" t="str">
        <f>IF($B38="","",IF($A38&gt;=1,IF($A38&lt;=33,VLOOKUP('Extra Tools &amp; No Notes'!$A38,'Construction Sheet'!$A$2:$F$35,6),""),""))</f>
        <v/>
      </c>
      <c r="N38" s="121"/>
      <c r="O38" s="32"/>
      <c r="P38" s="119"/>
      <c r="Q38" s="120"/>
      <c r="R38" s="120"/>
      <c r="S38" s="121"/>
      <c r="T38" s="33"/>
      <c r="U38" s="33"/>
      <c r="V38" s="33"/>
      <c r="W38" s="33"/>
      <c r="X38" s="15"/>
      <c r="Y38" s="14"/>
      <c r="Z38" s="14"/>
      <c r="AA38" s="14"/>
      <c r="AB38" s="14"/>
      <c r="AC38" s="14"/>
      <c r="AD38" s="16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</row>
    <row r="39" spans="1:46" x14ac:dyDescent="0.25">
      <c r="A39" s="31"/>
      <c r="B39" s="205" t="str">
        <f>_xlfn.IFNA(VLOOKUP(A39,'Construction Sheet'!$A$3:$D$50,2,FALSE), "")</f>
        <v/>
      </c>
      <c r="C39" s="206"/>
      <c r="D39" s="206"/>
      <c r="E39" s="206"/>
      <c r="F39" s="207"/>
      <c r="G39" s="31" t="str">
        <f>_xlfn.IFNA(VLOOKUP(A39,'Construction Sheet'!$A$3:$D$50,3,FALSE),"")</f>
        <v/>
      </c>
      <c r="H39" s="31"/>
      <c r="I39" s="128" t="str">
        <f t="shared" si="0"/>
        <v/>
      </c>
      <c r="J39" s="124"/>
      <c r="K39" s="128" t="str">
        <f>IF($B39="","",IF($A39&gt;=1,IF($A39&lt;=33,VLOOKUP('Extra Tools &amp; No Notes'!$A39,'Construction Sheet'!$A$2:$F$35,5),""),""))</f>
        <v/>
      </c>
      <c r="L39" s="124"/>
      <c r="M39" s="128" t="str">
        <f>IF($B39="","",IF($A39&gt;=1,IF($A39&lt;=33,VLOOKUP('Extra Tools &amp; No Notes'!$A39,'Construction Sheet'!$A$2:$F$35,6),""),""))</f>
        <v/>
      </c>
      <c r="N39" s="124"/>
      <c r="O39" s="30"/>
      <c r="P39" s="122"/>
      <c r="Q39" s="123"/>
      <c r="R39" s="123"/>
      <c r="S39" s="124"/>
      <c r="T39" s="31"/>
      <c r="U39" s="31"/>
      <c r="V39" s="31"/>
      <c r="W39" s="31"/>
      <c r="X39" s="15"/>
      <c r="Y39" s="14"/>
      <c r="Z39" s="14"/>
      <c r="AA39" s="14"/>
      <c r="AB39" s="14"/>
      <c r="AC39" s="14"/>
      <c r="AD39" s="16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</row>
    <row r="40" spans="1:46" x14ac:dyDescent="0.25">
      <c r="A40" s="33"/>
      <c r="B40" s="199" t="str">
        <f>_xlfn.IFNA(VLOOKUP(A40,'Construction Sheet'!$A$3:$D$50,2,FALSE), "")</f>
        <v/>
      </c>
      <c r="C40" s="200"/>
      <c r="D40" s="200"/>
      <c r="E40" s="200"/>
      <c r="F40" s="201"/>
      <c r="G40" s="33" t="str">
        <f>_xlfn.IFNA(VLOOKUP(A40,'Construction Sheet'!$A$3:$D$50,3,FALSE),"")</f>
        <v/>
      </c>
      <c r="H40" s="33"/>
      <c r="I40" s="127" t="str">
        <f t="shared" si="0"/>
        <v/>
      </c>
      <c r="J40" s="121"/>
      <c r="K40" s="127" t="str">
        <f>IF($B40="","",IF($A40&gt;=1,IF($A40&lt;=33,VLOOKUP('Extra Tools &amp; No Notes'!$A40,'Construction Sheet'!$A$2:$F$35,5),""),""))</f>
        <v/>
      </c>
      <c r="L40" s="121"/>
      <c r="M40" s="127" t="str">
        <f>IF($B40="","",IF($A40&gt;=1,IF($A40&lt;=33,VLOOKUP('Extra Tools &amp; No Notes'!$A40,'Construction Sheet'!$A$2:$F$35,6),""),""))</f>
        <v/>
      </c>
      <c r="N40" s="121"/>
      <c r="O40" s="32"/>
      <c r="P40" s="119"/>
      <c r="Q40" s="120"/>
      <c r="R40" s="120"/>
      <c r="S40" s="121"/>
      <c r="T40" s="33"/>
      <c r="U40" s="33"/>
      <c r="V40" s="33"/>
      <c r="W40" s="33"/>
      <c r="X40" s="15"/>
      <c r="Y40" s="14"/>
      <c r="Z40" s="14"/>
      <c r="AA40" s="14"/>
      <c r="AB40" s="14"/>
      <c r="AC40" s="14"/>
      <c r="AD40" s="16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</row>
    <row r="41" spans="1:46" x14ac:dyDescent="0.25">
      <c r="A41" s="31"/>
      <c r="B41" s="205" t="str">
        <f>_xlfn.IFNA(VLOOKUP(A41,'Construction Sheet'!$A$3:$D$50,2,FALSE), "")</f>
        <v/>
      </c>
      <c r="C41" s="206"/>
      <c r="D41" s="206"/>
      <c r="E41" s="206"/>
      <c r="F41" s="207"/>
      <c r="G41" s="31" t="str">
        <f>_xlfn.IFNA(VLOOKUP(A41,'Construction Sheet'!$A$3:$D$50,3,FALSE),"")</f>
        <v/>
      </c>
      <c r="H41" s="31"/>
      <c r="I41" s="128" t="str">
        <f t="shared" si="0"/>
        <v/>
      </c>
      <c r="J41" s="124"/>
      <c r="K41" s="128" t="str">
        <f>IF($B41="","",IF($A41&gt;=1,IF($A41&lt;=33,VLOOKUP('Extra Tools &amp; No Notes'!$A41,'Construction Sheet'!$A$2:$F$35,5),""),""))</f>
        <v/>
      </c>
      <c r="L41" s="124"/>
      <c r="M41" s="128" t="str">
        <f>IF($B41="","",IF($A41&gt;=1,IF($A41&lt;=33,VLOOKUP('Extra Tools &amp; No Notes'!$A41,'Construction Sheet'!$A$2:$F$35,6),""),""))</f>
        <v/>
      </c>
      <c r="N41" s="124"/>
      <c r="O41" s="30"/>
      <c r="P41" s="122"/>
      <c r="Q41" s="123"/>
      <c r="R41" s="123"/>
      <c r="S41" s="124"/>
      <c r="T41" s="31"/>
      <c r="U41" s="31"/>
      <c r="V41" s="31"/>
      <c r="W41" s="31"/>
      <c r="X41" s="15"/>
      <c r="Y41" s="14"/>
      <c r="Z41" s="14"/>
      <c r="AA41" s="14"/>
      <c r="AB41" s="14"/>
      <c r="AC41" s="14"/>
      <c r="AD41" s="16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</row>
    <row r="42" spans="1:46" x14ac:dyDescent="0.25">
      <c r="A42" s="33"/>
      <c r="B42" s="199" t="str">
        <f>_xlfn.IFNA(VLOOKUP(A42,'Construction Sheet'!$A$3:$D$50,2,FALSE), "")</f>
        <v/>
      </c>
      <c r="C42" s="200"/>
      <c r="D42" s="200"/>
      <c r="E42" s="200"/>
      <c r="F42" s="201"/>
      <c r="G42" s="33" t="str">
        <f>_xlfn.IFNA(VLOOKUP(A42,'Construction Sheet'!$A$3:$D$50,3,FALSE),"")</f>
        <v/>
      </c>
      <c r="H42" s="33"/>
      <c r="I42" s="127" t="str">
        <f t="shared" si="0"/>
        <v/>
      </c>
      <c r="J42" s="121"/>
      <c r="K42" s="127" t="str">
        <f>IF($B42="","",IF($A42&gt;=1,IF($A42&lt;=33,VLOOKUP('Extra Tools &amp; No Notes'!$A42,'Construction Sheet'!$A$2:$F$35,5),""),""))</f>
        <v/>
      </c>
      <c r="L42" s="121"/>
      <c r="M42" s="127" t="str">
        <f>IF($B42="","",IF($A42&gt;=1,IF($A42&lt;=33,VLOOKUP('Extra Tools &amp; No Notes'!$A42,'Construction Sheet'!$A$2:$F$35,6),""),""))</f>
        <v/>
      </c>
      <c r="N42" s="121"/>
      <c r="O42" s="32"/>
      <c r="P42" s="119"/>
      <c r="Q42" s="120"/>
      <c r="R42" s="120"/>
      <c r="S42" s="121"/>
      <c r="T42" s="33"/>
      <c r="U42" s="33"/>
      <c r="V42" s="33"/>
      <c r="W42" s="33"/>
      <c r="X42" s="15"/>
      <c r="Y42" s="14"/>
      <c r="Z42" s="14"/>
      <c r="AA42" s="14"/>
      <c r="AB42" s="14"/>
      <c r="AC42" s="14"/>
      <c r="AD42" s="16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</row>
    <row r="43" spans="1:46" x14ac:dyDescent="0.25">
      <c r="A43" s="31"/>
      <c r="B43" s="205" t="str">
        <f>_xlfn.IFNA(VLOOKUP(A43,'Construction Sheet'!$A$3:$D$50,2,FALSE), "")</f>
        <v/>
      </c>
      <c r="C43" s="206"/>
      <c r="D43" s="206"/>
      <c r="E43" s="206"/>
      <c r="F43" s="207"/>
      <c r="G43" s="31" t="str">
        <f>_xlfn.IFNA(VLOOKUP(A43,'Construction Sheet'!$A$3:$D$50,3,FALSE),"")</f>
        <v/>
      </c>
      <c r="H43" s="31"/>
      <c r="I43" s="128" t="str">
        <f t="shared" si="0"/>
        <v/>
      </c>
      <c r="J43" s="124"/>
      <c r="K43" s="128" t="str">
        <f>IF($B43="","",IF($A43&gt;=1,IF($A43&lt;=33,VLOOKUP('Extra Tools &amp; No Notes'!$A43,'Construction Sheet'!$A$2:$F$35,5),""),""))</f>
        <v/>
      </c>
      <c r="L43" s="124"/>
      <c r="M43" s="128" t="str">
        <f>IF($B43="","",IF($A43&gt;=1,IF($A43&lt;=33,VLOOKUP('Extra Tools &amp; No Notes'!$A43,'Construction Sheet'!$A$2:$F$35,6),""),""))</f>
        <v/>
      </c>
      <c r="N43" s="124"/>
      <c r="O43" s="30"/>
      <c r="P43" s="122"/>
      <c r="Q43" s="123"/>
      <c r="R43" s="123"/>
      <c r="S43" s="124"/>
      <c r="T43" s="31"/>
      <c r="U43" s="31"/>
      <c r="V43" s="31"/>
      <c r="W43" s="31"/>
      <c r="X43" s="15"/>
      <c r="Y43" s="14"/>
      <c r="Z43" s="14"/>
      <c r="AA43" s="14"/>
      <c r="AB43" s="14"/>
      <c r="AC43" s="14"/>
      <c r="AD43" s="16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</row>
    <row r="44" spans="1:46" x14ac:dyDescent="0.25">
      <c r="A44" s="47"/>
      <c r="B44" s="208" t="str">
        <f>_xlfn.IFNA(VLOOKUP(A44,'Construction Sheet'!$A$3:$D$50,2,FALSE), "")</f>
        <v/>
      </c>
      <c r="C44" s="209"/>
      <c r="D44" s="209"/>
      <c r="E44" s="209"/>
      <c r="F44" s="210"/>
      <c r="G44" s="47" t="str">
        <f>_xlfn.IFNA(VLOOKUP(A44,'Construction Sheet'!$A$3:$D$50,3,FALSE),"")</f>
        <v/>
      </c>
      <c r="H44" s="47"/>
      <c r="I44" s="129" t="str">
        <f t="shared" si="0"/>
        <v/>
      </c>
      <c r="J44" s="130"/>
      <c r="K44" s="129" t="str">
        <f>IF($B44="","",IF($A44&gt;=1,IF($A44&lt;=33,VLOOKUP('Extra Tools &amp; No Notes'!$A44,'Construction Sheet'!$A$2:$F$35,5),""),""))</f>
        <v/>
      </c>
      <c r="L44" s="130"/>
      <c r="M44" s="129" t="str">
        <f>IF($B44="","",IF($A44&gt;=1,IF($A44&lt;=33,VLOOKUP('Extra Tools &amp; No Notes'!$A44,'Construction Sheet'!$A$2:$F$35,6),""),""))</f>
        <v/>
      </c>
      <c r="N44" s="130"/>
      <c r="O44" s="48"/>
      <c r="P44" s="131"/>
      <c r="Q44" s="132"/>
      <c r="R44" s="132"/>
      <c r="S44" s="130"/>
      <c r="T44" s="47"/>
      <c r="U44" s="47"/>
      <c r="V44" s="47"/>
      <c r="W44" s="47"/>
      <c r="X44" s="15"/>
      <c r="Y44" s="14"/>
      <c r="Z44" s="14"/>
      <c r="AA44" s="14"/>
      <c r="AB44" s="14"/>
      <c r="AC44" s="14"/>
      <c r="AD44" s="16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</row>
    <row r="45" spans="1:46" x14ac:dyDescent="0.25">
      <c r="A45" s="31"/>
      <c r="B45" s="128" t="str">
        <f>_xlfn.IFNA(VLOOKUP(A45,'Construction Sheet'!$A$3:$D$50,2,FALSE), "")</f>
        <v/>
      </c>
      <c r="C45" s="123"/>
      <c r="D45" s="123"/>
      <c r="E45" s="123"/>
      <c r="F45" s="124"/>
      <c r="G45" s="31" t="str">
        <f>_xlfn.IFNA(VLOOKUP(A45,'Construction Sheet'!$A$3:$D$50,3,FALSE),"")</f>
        <v/>
      </c>
      <c r="H45" s="31"/>
      <c r="I45" s="128" t="str">
        <f t="shared" si="0"/>
        <v/>
      </c>
      <c r="J45" s="124"/>
      <c r="K45" s="128" t="str">
        <f>IF($B45="","",IF($A45&gt;=1,IF($A45&lt;=33,VLOOKUP('Extra Tools &amp; No Notes'!$A45,'Construction Sheet'!$A$2:$F$35,5),""),""))</f>
        <v/>
      </c>
      <c r="L45" s="124"/>
      <c r="M45" s="128" t="str">
        <f>IF($B45="","",IF($A45&gt;=1,IF($A45&lt;=33,VLOOKUP('Extra Tools &amp; No Notes'!$A45,'Construction Sheet'!$A$2:$F$35,6),""),""))</f>
        <v/>
      </c>
      <c r="N45" s="124"/>
      <c r="O45" s="30"/>
      <c r="P45" s="122"/>
      <c r="Q45" s="123"/>
      <c r="R45" s="123"/>
      <c r="S45" s="124"/>
      <c r="T45" s="31"/>
      <c r="U45" s="31"/>
      <c r="V45" s="31"/>
      <c r="W45" s="31"/>
      <c r="X45" s="15"/>
      <c r="Y45" s="14"/>
      <c r="Z45" s="14"/>
      <c r="AA45" s="14"/>
      <c r="AB45" s="14"/>
      <c r="AC45" s="14"/>
      <c r="AD45" s="16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</row>
    <row r="46" spans="1:46" x14ac:dyDescent="0.25">
      <c r="A46" s="47"/>
      <c r="B46" s="208" t="str">
        <f>_xlfn.IFNA(VLOOKUP(A46,'Construction Sheet'!$A$3:$D$50,2,FALSE), "")</f>
        <v/>
      </c>
      <c r="C46" s="209"/>
      <c r="D46" s="209"/>
      <c r="E46" s="209"/>
      <c r="F46" s="210"/>
      <c r="G46" s="47" t="str">
        <f>_xlfn.IFNA(VLOOKUP(A46,'Construction Sheet'!$A$3:$D$50,3,FALSE),"")</f>
        <v/>
      </c>
      <c r="H46" s="47"/>
      <c r="I46" s="129" t="str">
        <f t="shared" si="0"/>
        <v/>
      </c>
      <c r="J46" s="130"/>
      <c r="K46" s="129" t="str">
        <f>IF($B46="","",IF($A46&gt;=1,IF($A46&lt;=33,VLOOKUP('Extra Tools &amp; No Notes'!$A46,'Construction Sheet'!$A$2:$F$35,5),""),""))</f>
        <v/>
      </c>
      <c r="L46" s="130"/>
      <c r="M46" s="129" t="str">
        <f>IF($B46="","",IF($A46&gt;=1,IF($A46&lt;=33,VLOOKUP('Extra Tools &amp; No Notes'!$A46,'Construction Sheet'!$A$2:$F$35,6),""),""))</f>
        <v/>
      </c>
      <c r="N46" s="130"/>
      <c r="O46" s="48"/>
      <c r="P46" s="131"/>
      <c r="Q46" s="132"/>
      <c r="R46" s="132"/>
      <c r="S46" s="130"/>
      <c r="T46" s="47"/>
      <c r="U46" s="47"/>
      <c r="V46" s="47"/>
      <c r="W46" s="47"/>
      <c r="X46" s="15"/>
      <c r="Y46" s="14"/>
      <c r="Z46" s="14"/>
      <c r="AA46" s="14"/>
      <c r="AB46" s="14"/>
      <c r="AC46" s="14"/>
      <c r="AD46" s="16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</row>
    <row r="47" spans="1:46" x14ac:dyDescent="0.25">
      <c r="A47" s="31"/>
      <c r="B47" s="205" t="str">
        <f>_xlfn.IFNA(VLOOKUP(A47,'Construction Sheet'!$A$3:$D$50,2,FALSE), "")</f>
        <v/>
      </c>
      <c r="C47" s="206"/>
      <c r="D47" s="206"/>
      <c r="E47" s="206"/>
      <c r="F47" s="207"/>
      <c r="G47" s="31" t="str">
        <f>_xlfn.IFNA(VLOOKUP(A47,'Construction Sheet'!$A$3:$D$50,3,FALSE),"")</f>
        <v/>
      </c>
      <c r="H47" s="31"/>
      <c r="I47" s="128" t="str">
        <f t="shared" si="0"/>
        <v/>
      </c>
      <c r="J47" s="124"/>
      <c r="K47" s="128" t="str">
        <f>IF($B47="","",IF($A47&gt;=1,IF($A47&lt;=33,VLOOKUP('Extra Tools &amp; No Notes'!$A47,'Construction Sheet'!$A$2:$F$35,5),""),""))</f>
        <v/>
      </c>
      <c r="L47" s="124"/>
      <c r="M47" s="128" t="str">
        <f>IF($B47="","",IF($A47&gt;=1,IF($A47&lt;=33,VLOOKUP('Extra Tools &amp; No Notes'!$A47,'Construction Sheet'!$A$2:$F$35,6),""),""))</f>
        <v/>
      </c>
      <c r="N47" s="124"/>
      <c r="O47" s="30"/>
      <c r="P47" s="122"/>
      <c r="Q47" s="123"/>
      <c r="R47" s="123"/>
      <c r="S47" s="124"/>
      <c r="T47" s="31"/>
      <c r="U47" s="31"/>
      <c r="V47" s="31"/>
      <c r="W47" s="31"/>
      <c r="X47" s="15"/>
      <c r="Y47" s="14"/>
      <c r="Z47" s="14"/>
      <c r="AA47" s="14"/>
      <c r="AB47" s="14"/>
      <c r="AC47" s="14"/>
      <c r="AD47" s="16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</row>
    <row r="48" spans="1:46" x14ac:dyDescent="0.25">
      <c r="A48" s="47"/>
      <c r="B48" s="208" t="str">
        <f>_xlfn.IFNA(VLOOKUP(A48,'Construction Sheet'!$A$3:$D$50,2,FALSE), "")</f>
        <v/>
      </c>
      <c r="C48" s="209"/>
      <c r="D48" s="209"/>
      <c r="E48" s="209"/>
      <c r="F48" s="210"/>
      <c r="G48" s="47" t="str">
        <f>_xlfn.IFNA(VLOOKUP(A48,'Construction Sheet'!$A$3:$D$50,3,FALSE),"")</f>
        <v/>
      </c>
      <c r="H48" s="47"/>
      <c r="I48" s="129" t="str">
        <f t="shared" si="0"/>
        <v/>
      </c>
      <c r="J48" s="130"/>
      <c r="K48" s="129" t="str">
        <f>IF($B48="","",IF($A48&gt;=1,IF($A48&lt;=33,VLOOKUP('Extra Tools &amp; No Notes'!$A48,'Construction Sheet'!$A$2:$F$35,5),""),""))</f>
        <v/>
      </c>
      <c r="L48" s="130"/>
      <c r="M48" s="129" t="str">
        <f>IF($B48="","",IF($A48&gt;=1,IF($A48&lt;=33,VLOOKUP('Extra Tools &amp; No Notes'!$A48,'Construction Sheet'!$A$2:$F$35,6),""),""))</f>
        <v/>
      </c>
      <c r="N48" s="130"/>
      <c r="O48" s="48"/>
      <c r="P48" s="131"/>
      <c r="Q48" s="132"/>
      <c r="R48" s="132"/>
      <c r="S48" s="130"/>
      <c r="T48" s="47"/>
      <c r="U48" s="47"/>
      <c r="V48" s="47"/>
      <c r="W48" s="47"/>
      <c r="X48" s="15"/>
      <c r="Y48" s="14"/>
      <c r="Z48" s="14"/>
      <c r="AA48" s="14"/>
      <c r="AB48" s="14"/>
      <c r="AC48" s="14"/>
      <c r="AD48" s="16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</row>
    <row r="49" spans="1:46" x14ac:dyDescent="0.25">
      <c r="A49" s="31"/>
      <c r="B49" s="205" t="str">
        <f>_xlfn.IFNA(VLOOKUP(A49,'Construction Sheet'!$A$3:$D$50,2,FALSE), "")</f>
        <v/>
      </c>
      <c r="C49" s="206"/>
      <c r="D49" s="206"/>
      <c r="E49" s="206"/>
      <c r="F49" s="207"/>
      <c r="G49" s="31" t="str">
        <f>_xlfn.IFNA(VLOOKUP(A49,'Construction Sheet'!$A$3:$D$50,3,FALSE),"")</f>
        <v/>
      </c>
      <c r="H49" s="31"/>
      <c r="I49" s="128" t="str">
        <f t="shared" si="0"/>
        <v/>
      </c>
      <c r="J49" s="124"/>
      <c r="K49" s="128" t="str">
        <f>IF($B49="","",IF($A49&gt;=1,IF($A49&lt;=33,VLOOKUP('Extra Tools &amp; No Notes'!$A49,'Construction Sheet'!$A$2:$F$35,5),""),""))</f>
        <v/>
      </c>
      <c r="L49" s="124"/>
      <c r="M49" s="128" t="str">
        <f>IF($B49="","",IF($A49&gt;=1,IF($A49&lt;=33,VLOOKUP('Extra Tools &amp; No Notes'!$A49,'Construction Sheet'!$A$2:$F$35,6),""),""))</f>
        <v/>
      </c>
      <c r="N49" s="124"/>
      <c r="O49" s="30"/>
      <c r="P49" s="122"/>
      <c r="Q49" s="123"/>
      <c r="R49" s="123"/>
      <c r="S49" s="124"/>
      <c r="T49" s="31"/>
      <c r="U49" s="31"/>
      <c r="V49" s="31"/>
      <c r="W49" s="31"/>
      <c r="X49" s="15"/>
      <c r="Y49" s="14"/>
      <c r="Z49" s="14"/>
      <c r="AA49" s="14"/>
      <c r="AB49" s="14"/>
      <c r="AC49" s="14"/>
      <c r="AD49" s="16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</row>
    <row r="50" spans="1:46" x14ac:dyDescent="0.25">
      <c r="A50" s="47"/>
      <c r="B50" s="208" t="str">
        <f>_xlfn.IFNA(VLOOKUP(A50,'Construction Sheet'!$A$3:$D$50,2,FALSE), "")</f>
        <v/>
      </c>
      <c r="C50" s="209"/>
      <c r="D50" s="209"/>
      <c r="E50" s="209"/>
      <c r="F50" s="210"/>
      <c r="G50" s="47" t="str">
        <f>_xlfn.IFNA(VLOOKUP(A50,'Construction Sheet'!$A$3:$D$50,3,FALSE),"")</f>
        <v/>
      </c>
      <c r="H50" s="47"/>
      <c r="I50" s="129" t="str">
        <f t="shared" si="0"/>
        <v/>
      </c>
      <c r="J50" s="130"/>
      <c r="K50" s="129" t="str">
        <f>IF($B50="","",IF($A50&gt;=1,IF($A50&lt;=33,VLOOKUP('Extra Tools &amp; No Notes'!$A50,'Construction Sheet'!$A$2:$F$35,5),""),""))</f>
        <v/>
      </c>
      <c r="L50" s="130"/>
      <c r="M50" s="129" t="str">
        <f>IF($B50="","",IF($A50&gt;=1,IF($A50&lt;=33,VLOOKUP('Extra Tools &amp; No Notes'!$A50,'Construction Sheet'!$A$2:$F$35,6),""),""))</f>
        <v/>
      </c>
      <c r="N50" s="130"/>
      <c r="O50" s="48"/>
      <c r="P50" s="131"/>
      <c r="Q50" s="132"/>
      <c r="R50" s="132"/>
      <c r="S50" s="130"/>
      <c r="T50" s="47"/>
      <c r="U50" s="47"/>
      <c r="V50" s="47"/>
      <c r="W50" s="47"/>
      <c r="X50" s="15"/>
      <c r="Y50" s="14"/>
      <c r="Z50" s="14"/>
      <c r="AA50" s="14"/>
      <c r="AB50" s="14"/>
      <c r="AC50" s="14"/>
      <c r="AD50" s="16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</row>
    <row r="51" spans="1:46" ht="15.75" thickBot="1" x14ac:dyDescent="0.3">
      <c r="A51" s="53"/>
      <c r="B51" s="160" t="str">
        <f>_xlfn.IFNA(VLOOKUP(A51,'Construction Sheet'!$A$3:$D$50,2,FALSE), "")</f>
        <v/>
      </c>
      <c r="C51" s="164"/>
      <c r="D51" s="164"/>
      <c r="E51" s="164"/>
      <c r="F51" s="161"/>
      <c r="G51" s="53" t="str">
        <f>_xlfn.IFNA(VLOOKUP(A51,'Construction Sheet'!$A$3:$D$50,3,FALSE),"")</f>
        <v/>
      </c>
      <c r="H51" s="53"/>
      <c r="I51" s="160" t="str">
        <f t="shared" si="0"/>
        <v/>
      </c>
      <c r="J51" s="161"/>
      <c r="K51" s="160" t="str">
        <f>IF($B51="","",IF($A51&gt;=1,IF($A51&lt;=33,VLOOKUP('Extra Tools &amp; No Notes'!$A51,'Construction Sheet'!$A$2:$F$35,5),""),""))</f>
        <v/>
      </c>
      <c r="L51" s="161"/>
      <c r="M51" s="160" t="str">
        <f>IF($B51="","",IF($A51&gt;=1,IF($A51&lt;=33,VLOOKUP('Extra Tools &amp; No Notes'!$A51,'Construction Sheet'!$A$2:$F$35,6),""),""))</f>
        <v/>
      </c>
      <c r="N51" s="161"/>
      <c r="O51" s="52"/>
      <c r="P51" s="248"/>
      <c r="Q51" s="164"/>
      <c r="R51" s="164"/>
      <c r="S51" s="161"/>
      <c r="T51" s="53"/>
      <c r="U51" s="53"/>
      <c r="V51" s="53"/>
      <c r="W51" s="53"/>
      <c r="X51" s="15"/>
      <c r="Y51" s="14"/>
      <c r="Z51" s="14"/>
      <c r="AA51" s="14"/>
      <c r="AB51" s="14"/>
      <c r="AC51" s="14"/>
      <c r="AD51" s="16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</row>
    <row r="52" spans="1:46" x14ac:dyDescent="0.25">
      <c r="A52" s="185" t="s">
        <v>10</v>
      </c>
      <c r="B52" s="185"/>
      <c r="C52" s="185"/>
      <c r="D52" s="78" t="str" cm="1">
        <f t="array" aca="1" ref="D52" ca="1">MID(CELL("filename",A1),FIND("[",CELL("filename",A1))+1,FIND(".xlsm",CELL("filename",A1))-FIND("[",CELL("filename",A1))-1)</f>
        <v>import_test</v>
      </c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 t="str">
        <f>IF(ISBLANK(Cover!D6),"",Cover!D6)</f>
        <v>26-0099</v>
      </c>
      <c r="V52" s="78"/>
      <c r="W52" s="78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</sheetData>
  <sheetProtection selectLockedCells="1"/>
  <mergeCells count="201">
    <mergeCell ref="I51:J51"/>
    <mergeCell ref="K51:L51"/>
    <mergeCell ref="M51:N51"/>
    <mergeCell ref="P51:S51"/>
    <mergeCell ref="B48:F48"/>
    <mergeCell ref="I48:J48"/>
    <mergeCell ref="K48:L48"/>
    <mergeCell ref="M48:N48"/>
    <mergeCell ref="P48:S48"/>
    <mergeCell ref="B50:F50"/>
    <mergeCell ref="I50:J50"/>
    <mergeCell ref="K50:L50"/>
    <mergeCell ref="M50:N50"/>
    <mergeCell ref="P50:S50"/>
    <mergeCell ref="B49:F49"/>
    <mergeCell ref="I49:J49"/>
    <mergeCell ref="K49:L49"/>
    <mergeCell ref="M49:N49"/>
    <mergeCell ref="P49:S49"/>
    <mergeCell ref="A52:C52"/>
    <mergeCell ref="D52:T52"/>
    <mergeCell ref="U52:W52"/>
    <mergeCell ref="B45:F45"/>
    <mergeCell ref="I45:J45"/>
    <mergeCell ref="B44:F44"/>
    <mergeCell ref="I44:J44"/>
    <mergeCell ref="K44:L44"/>
    <mergeCell ref="M44:N44"/>
    <mergeCell ref="P44:S44"/>
    <mergeCell ref="B46:F46"/>
    <mergeCell ref="I46:J46"/>
    <mergeCell ref="K46:L46"/>
    <mergeCell ref="M46:N46"/>
    <mergeCell ref="P46:S46"/>
    <mergeCell ref="K45:L45"/>
    <mergeCell ref="M45:N45"/>
    <mergeCell ref="P45:S45"/>
    <mergeCell ref="B47:F47"/>
    <mergeCell ref="I47:J47"/>
    <mergeCell ref="K47:L47"/>
    <mergeCell ref="M47:N47"/>
    <mergeCell ref="P47:S47"/>
    <mergeCell ref="B51:F51"/>
    <mergeCell ref="B42:F42"/>
    <mergeCell ref="I42:J42"/>
    <mergeCell ref="K42:L42"/>
    <mergeCell ref="M42:N42"/>
    <mergeCell ref="P42:S42"/>
    <mergeCell ref="B43:F43"/>
    <mergeCell ref="I43:J43"/>
    <mergeCell ref="K43:L43"/>
    <mergeCell ref="M43:N43"/>
    <mergeCell ref="P43:S43"/>
    <mergeCell ref="B40:F40"/>
    <mergeCell ref="I40:J40"/>
    <mergeCell ref="K40:L40"/>
    <mergeCell ref="M40:N40"/>
    <mergeCell ref="P40:S40"/>
    <mergeCell ref="B41:F41"/>
    <mergeCell ref="I41:J41"/>
    <mergeCell ref="K41:L41"/>
    <mergeCell ref="M41:N41"/>
    <mergeCell ref="P41:S41"/>
    <mergeCell ref="B38:F38"/>
    <mergeCell ref="I38:J38"/>
    <mergeCell ref="K38:L38"/>
    <mergeCell ref="M38:N38"/>
    <mergeCell ref="P38:S38"/>
    <mergeCell ref="B39:F39"/>
    <mergeCell ref="I39:J39"/>
    <mergeCell ref="K39:L39"/>
    <mergeCell ref="M39:N39"/>
    <mergeCell ref="P39:S39"/>
    <mergeCell ref="B36:F36"/>
    <mergeCell ref="I36:J36"/>
    <mergeCell ref="K36:L36"/>
    <mergeCell ref="M36:N36"/>
    <mergeCell ref="P36:S36"/>
    <mergeCell ref="B37:F37"/>
    <mergeCell ref="I37:J37"/>
    <mergeCell ref="K37:L37"/>
    <mergeCell ref="M37:N37"/>
    <mergeCell ref="P37:S37"/>
    <mergeCell ref="B34:F34"/>
    <mergeCell ref="I34:J34"/>
    <mergeCell ref="K34:L34"/>
    <mergeCell ref="M34:N34"/>
    <mergeCell ref="P34:S34"/>
    <mergeCell ref="B35:F35"/>
    <mergeCell ref="I35:J35"/>
    <mergeCell ref="K35:L35"/>
    <mergeCell ref="M35:N35"/>
    <mergeCell ref="P35:S35"/>
    <mergeCell ref="B32:F32"/>
    <mergeCell ref="I32:J32"/>
    <mergeCell ref="K32:L32"/>
    <mergeCell ref="M32:N32"/>
    <mergeCell ref="P32:S32"/>
    <mergeCell ref="B33:F33"/>
    <mergeCell ref="I33:J33"/>
    <mergeCell ref="K33:L33"/>
    <mergeCell ref="M33:N33"/>
    <mergeCell ref="P33:S33"/>
    <mergeCell ref="B30:F30"/>
    <mergeCell ref="I30:J30"/>
    <mergeCell ref="K30:L30"/>
    <mergeCell ref="M30:N30"/>
    <mergeCell ref="P30:S30"/>
    <mergeCell ref="B31:F31"/>
    <mergeCell ref="I31:J31"/>
    <mergeCell ref="K31:L31"/>
    <mergeCell ref="M31:N31"/>
    <mergeCell ref="P31:S31"/>
    <mergeCell ref="A28:O28"/>
    <mergeCell ref="P28:W28"/>
    <mergeCell ref="B29:F29"/>
    <mergeCell ref="I29:J29"/>
    <mergeCell ref="K29:L29"/>
    <mergeCell ref="M29:N29"/>
    <mergeCell ref="P29:S29"/>
    <mergeCell ref="B26:F26"/>
    <mergeCell ref="H26:I26"/>
    <mergeCell ref="J26:K26"/>
    <mergeCell ref="M26:W27"/>
    <mergeCell ref="B27:F27"/>
    <mergeCell ref="H27:I27"/>
    <mergeCell ref="J27:K27"/>
    <mergeCell ref="B24:F24"/>
    <mergeCell ref="H24:I24"/>
    <mergeCell ref="J24:K24"/>
    <mergeCell ref="B25:F25"/>
    <mergeCell ref="H25:I25"/>
    <mergeCell ref="J25:K25"/>
    <mergeCell ref="A21:J21"/>
    <mergeCell ref="B22:F22"/>
    <mergeCell ref="H22:I22"/>
    <mergeCell ref="J22:K22"/>
    <mergeCell ref="B23:F23"/>
    <mergeCell ref="H23:I23"/>
    <mergeCell ref="J23:K23"/>
    <mergeCell ref="A19:B19"/>
    <mergeCell ref="C19:I19"/>
    <mergeCell ref="J19:K19"/>
    <mergeCell ref="A20:B20"/>
    <mergeCell ref="C20:I20"/>
    <mergeCell ref="J20:K20"/>
    <mergeCell ref="A17:B17"/>
    <mergeCell ref="C17:I17"/>
    <mergeCell ref="J17:K17"/>
    <mergeCell ref="A18:B18"/>
    <mergeCell ref="C18:I18"/>
    <mergeCell ref="J18:K18"/>
    <mergeCell ref="A14:L14"/>
    <mergeCell ref="A15:B15"/>
    <mergeCell ref="C15:I15"/>
    <mergeCell ref="J15:K15"/>
    <mergeCell ref="A16:B16"/>
    <mergeCell ref="C16:I16"/>
    <mergeCell ref="J16:K16"/>
    <mergeCell ref="B12:D12"/>
    <mergeCell ref="E12:H12"/>
    <mergeCell ref="I12:J12"/>
    <mergeCell ref="K12:L12"/>
    <mergeCell ref="B13:D13"/>
    <mergeCell ref="E13:F13"/>
    <mergeCell ref="G13:L13"/>
    <mergeCell ref="E11:H11"/>
    <mergeCell ref="I11:J11"/>
    <mergeCell ref="K11:L11"/>
    <mergeCell ref="B8:D8"/>
    <mergeCell ref="E8:H8"/>
    <mergeCell ref="I8:J8"/>
    <mergeCell ref="K8:L8"/>
    <mergeCell ref="B9:D9"/>
    <mergeCell ref="E9:H9"/>
    <mergeCell ref="I9:J9"/>
    <mergeCell ref="K9:L9"/>
    <mergeCell ref="A1:W2"/>
    <mergeCell ref="A3:L3"/>
    <mergeCell ref="M3:W3"/>
    <mergeCell ref="A4:B4"/>
    <mergeCell ref="C4:F4"/>
    <mergeCell ref="G4:H4"/>
    <mergeCell ref="I4:J4"/>
    <mergeCell ref="K4:L4"/>
    <mergeCell ref="M4:W25"/>
    <mergeCell ref="A5:B5"/>
    <mergeCell ref="C5:F5"/>
    <mergeCell ref="G5:H5"/>
    <mergeCell ref="I5:J5"/>
    <mergeCell ref="K5:L5"/>
    <mergeCell ref="A6:L6"/>
    <mergeCell ref="B7:D7"/>
    <mergeCell ref="E7:H7"/>
    <mergeCell ref="I7:J7"/>
    <mergeCell ref="K7:L7"/>
    <mergeCell ref="B10:D10"/>
    <mergeCell ref="E10:H10"/>
    <mergeCell ref="I10:J10"/>
    <mergeCell ref="K10:L10"/>
    <mergeCell ref="B11:D11"/>
  </mergeCells>
  <conditionalFormatting sqref="I30:I51">
    <cfRule type="notContainsText" dxfId="2" priority="5" operator="notContains" text="N/A">
      <formula>ISERROR(SEARCH("N/A",I30))</formula>
    </cfRule>
  </conditionalFormatting>
  <conditionalFormatting sqref="G30:G51">
    <cfRule type="expression" dxfId="1" priority="1">
      <formula>AND(IF($A30&gt;10,1),IF($A30&lt;18,1),IF($G30=".015",1))</formula>
    </cfRule>
    <cfRule type="expression" dxfId="0" priority="4">
      <formula>AND(IF($A30&gt;10,1),IF($A30&lt;18,1),IF($G30=".015r",1))</formula>
    </cfRule>
  </conditionalFormatting>
  <pageMargins left="0" right="0" top="0" bottom="0" header="0.3" footer="0.3"/>
  <pageSetup paperSize="1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900-000000000000}">
          <x14:formula1>
            <xm:f>'Construction Sheet'!$M$2:$M$3</xm:f>
          </x14:formula1>
          <xm:sqref>B11:D11</xm:sqref>
        </x14:dataValidation>
        <x14:dataValidation type="list" allowBlank="1" xr:uid="{00000000-0002-0000-0900-000001000000}">
          <x14:formula1>
            <xm:f>'Construction Sheet'!$N$2</xm:f>
          </x14:formula1>
          <xm:sqref>B12:D12</xm:sqref>
        </x14:dataValidation>
        <x14:dataValidation type="list" allowBlank="1" showInputMessage="1" xr:uid="{00000000-0002-0000-0900-000002000000}">
          <x14:formula1>
            <xm:f>'Construction Sheet'!$I$32:$I$36</xm:f>
          </x14:formula1>
          <xm:sqref>M30:N51</xm:sqref>
        </x14:dataValidation>
        <x14:dataValidation type="list" allowBlank="1" showInputMessage="1" xr:uid="{00000000-0002-0000-0900-000003000000}">
          <x14:formula1>
            <xm:f>'Construction Sheet'!$H$32:$H$38</xm:f>
          </x14:formula1>
          <xm:sqref>K30:L51</xm:sqref>
        </x14:dataValidation>
        <x14:dataValidation type="list" allowBlank="1" showInputMessage="1" xr:uid="{00000000-0002-0000-0900-000004000000}">
          <x14:formula1>
            <xm:f>'Construction Sheet'!$K$22</xm:f>
          </x14:formula1>
          <xm:sqref>I5:J5</xm:sqref>
        </x14:dataValidation>
        <x14:dataValidation type="list" allowBlank="1" xr:uid="{00000000-0002-0000-0900-000005000000}">
          <x14:formula1>
            <xm:f>'Construction Sheet'!$H$2:$H$5</xm:f>
          </x14:formula1>
          <xm:sqref>A5:B5</xm:sqref>
        </x14:dataValidation>
        <x14:dataValidation type="list" allowBlank="1" xr:uid="{00000000-0002-0000-0900-000006000000}">
          <x14:formula1>
            <xm:f>'Construction Sheet'!$L$2:$L$4</xm:f>
          </x14:formula1>
          <xm:sqref>B10</xm:sqref>
        </x14:dataValidation>
        <x14:dataValidation type="list" allowBlank="1" xr:uid="{00000000-0002-0000-0900-000007000000}">
          <x14:formula1>
            <xm:f>'Construction Sheet'!$K$2:$K$3</xm:f>
          </x14:formula1>
          <xm:sqref>B8:B9</xm:sqref>
        </x14:dataValidation>
        <x14:dataValidation type="list" allowBlank="1" xr:uid="{00000000-0002-0000-0900-000008000000}">
          <x14:formula1>
            <xm:f>'Construction Sheet'!$I$2:$I$5</xm:f>
          </x14:formula1>
          <xm:sqref>G5</xm:sqref>
        </x14:dataValidation>
        <x14:dataValidation type="list" allowBlank="1" xr:uid="{00000000-0002-0000-0900-000009000000}">
          <x14:formula1>
            <xm:f>'Construction Sheet'!$G$2:$G$4</xm:f>
          </x14:formula1>
          <xm:sqref>B13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theme="9"/>
  </sheetPr>
  <dimension ref="A1:W52"/>
  <sheetViews>
    <sheetView view="pageLayout" zoomScaleNormal="100" workbookViewId="0">
      <selection activeCell="F48" sqref="F48:U48"/>
    </sheetView>
  </sheetViews>
  <sheetFormatPr defaultColWidth="9.140625" defaultRowHeight="15" x14ac:dyDescent="0.25"/>
  <cols>
    <col min="1" max="1" width="9.42578125" style="1" customWidth="1"/>
    <col min="2" max="5" width="9.140625" style="1"/>
    <col min="6" max="6" width="8" style="1" customWidth="1"/>
    <col min="7" max="7" width="8.5703125" style="1" customWidth="1"/>
    <col min="8" max="8" width="9.85546875" style="1" customWidth="1"/>
    <col min="9" max="10" width="9.140625" style="1"/>
    <col min="11" max="11" width="10.42578125" style="1" customWidth="1"/>
    <col min="12" max="12" width="9.140625" style="1"/>
    <col min="13" max="13" width="9.140625" style="1" customWidth="1"/>
    <col min="14" max="16384" width="9.140625" style="1"/>
  </cols>
  <sheetData>
    <row r="1" spans="1:23" ht="15" customHeight="1" x14ac:dyDescent="0.25">
      <c r="A1" s="255" t="s">
        <v>70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7"/>
    </row>
    <row r="2" spans="1:23" ht="15" customHeight="1" thickBot="1" x14ac:dyDescent="0.3">
      <c r="A2" s="258"/>
      <c r="B2" s="259"/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60"/>
    </row>
    <row r="3" spans="1:23" ht="15.75" thickBot="1" x14ac:dyDescent="0.3">
      <c r="A3" s="18" t="s">
        <v>24</v>
      </c>
      <c r="B3" s="165" t="s">
        <v>14</v>
      </c>
      <c r="C3" s="135"/>
      <c r="D3" s="165" t="s">
        <v>1</v>
      </c>
      <c r="E3" s="135"/>
      <c r="F3" s="165" t="s">
        <v>71</v>
      </c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65" t="s">
        <v>72</v>
      </c>
      <c r="W3" s="135"/>
    </row>
    <row r="4" spans="1:23" x14ac:dyDescent="0.25">
      <c r="A4" s="23"/>
      <c r="B4" s="253"/>
      <c r="C4" s="254"/>
      <c r="D4" s="253"/>
      <c r="E4" s="254"/>
      <c r="F4" s="25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53"/>
      <c r="W4" s="254"/>
    </row>
    <row r="5" spans="1:23" x14ac:dyDescent="0.25">
      <c r="A5" s="19"/>
      <c r="B5" s="251"/>
      <c r="C5" s="252"/>
      <c r="D5" s="251"/>
      <c r="E5" s="252"/>
      <c r="F5" s="25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  <c r="T5" s="261"/>
      <c r="U5" s="261"/>
      <c r="V5" s="251"/>
      <c r="W5" s="252"/>
    </row>
    <row r="6" spans="1:23" x14ac:dyDescent="0.25">
      <c r="A6" s="20"/>
      <c r="B6" s="249"/>
      <c r="C6" s="250"/>
      <c r="D6" s="249"/>
      <c r="E6" s="250"/>
      <c r="F6" s="249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49"/>
      <c r="W6" s="250"/>
    </row>
    <row r="7" spans="1:23" x14ac:dyDescent="0.25">
      <c r="A7" s="19"/>
      <c r="B7" s="251"/>
      <c r="C7" s="252"/>
      <c r="D7" s="251"/>
      <c r="E7" s="252"/>
      <c r="F7" s="25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1"/>
      <c r="U7" s="261"/>
      <c r="V7" s="251"/>
      <c r="W7" s="252"/>
    </row>
    <row r="8" spans="1:23" x14ac:dyDescent="0.25">
      <c r="A8" s="20"/>
      <c r="B8" s="249"/>
      <c r="C8" s="250"/>
      <c r="D8" s="249"/>
      <c r="E8" s="250"/>
      <c r="F8" s="249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2"/>
      <c r="R8" s="262"/>
      <c r="S8" s="262"/>
      <c r="T8" s="262"/>
      <c r="U8" s="262"/>
      <c r="V8" s="249"/>
      <c r="W8" s="250"/>
    </row>
    <row r="9" spans="1:23" x14ac:dyDescent="0.25">
      <c r="A9" s="19"/>
      <c r="B9" s="251"/>
      <c r="C9" s="252"/>
      <c r="D9" s="251"/>
      <c r="E9" s="252"/>
      <c r="F9" s="25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261"/>
      <c r="T9" s="261"/>
      <c r="U9" s="261"/>
      <c r="V9" s="251"/>
      <c r="W9" s="252"/>
    </row>
    <row r="10" spans="1:23" x14ac:dyDescent="0.25">
      <c r="A10" s="20"/>
      <c r="B10" s="249"/>
      <c r="C10" s="250"/>
      <c r="D10" s="249"/>
      <c r="E10" s="250"/>
      <c r="F10" s="249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49"/>
      <c r="W10" s="250"/>
    </row>
    <row r="11" spans="1:23" x14ac:dyDescent="0.25">
      <c r="A11" s="19"/>
      <c r="B11" s="251"/>
      <c r="C11" s="252"/>
      <c r="D11" s="251"/>
      <c r="E11" s="252"/>
      <c r="F11" s="25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1"/>
      <c r="R11" s="261"/>
      <c r="S11" s="261"/>
      <c r="T11" s="261"/>
      <c r="U11" s="261"/>
      <c r="V11" s="251"/>
      <c r="W11" s="252"/>
    </row>
    <row r="12" spans="1:23" x14ac:dyDescent="0.25">
      <c r="A12" s="20"/>
      <c r="B12" s="249"/>
      <c r="C12" s="250"/>
      <c r="D12" s="249"/>
      <c r="E12" s="250"/>
      <c r="F12" s="249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2"/>
      <c r="S12" s="262"/>
      <c r="T12" s="262"/>
      <c r="U12" s="262"/>
      <c r="V12" s="249"/>
      <c r="W12" s="250"/>
    </row>
    <row r="13" spans="1:23" x14ac:dyDescent="0.25">
      <c r="A13" s="19"/>
      <c r="B13" s="251"/>
      <c r="C13" s="252"/>
      <c r="D13" s="251"/>
      <c r="E13" s="252"/>
      <c r="F13" s="251"/>
      <c r="G13" s="261"/>
      <c r="H13" s="261"/>
      <c r="I13" s="261"/>
      <c r="J13" s="261"/>
      <c r="K13" s="261"/>
      <c r="L13" s="261"/>
      <c r="M13" s="261"/>
      <c r="N13" s="261"/>
      <c r="O13" s="261"/>
      <c r="P13" s="261"/>
      <c r="Q13" s="261"/>
      <c r="R13" s="261"/>
      <c r="S13" s="261"/>
      <c r="T13" s="261"/>
      <c r="U13" s="261"/>
      <c r="V13" s="251"/>
      <c r="W13" s="252"/>
    </row>
    <row r="14" spans="1:23" x14ac:dyDescent="0.25">
      <c r="A14" s="20"/>
      <c r="B14" s="249"/>
      <c r="C14" s="250"/>
      <c r="D14" s="249"/>
      <c r="E14" s="250"/>
      <c r="F14" s="249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49"/>
      <c r="W14" s="250"/>
    </row>
    <row r="15" spans="1:23" x14ac:dyDescent="0.25">
      <c r="A15" s="19"/>
      <c r="B15" s="251"/>
      <c r="C15" s="252"/>
      <c r="D15" s="251"/>
      <c r="E15" s="252"/>
      <c r="F15" s="25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261"/>
      <c r="T15" s="261"/>
      <c r="U15" s="261"/>
      <c r="V15" s="251"/>
      <c r="W15" s="252"/>
    </row>
    <row r="16" spans="1:23" x14ac:dyDescent="0.25">
      <c r="A16" s="20"/>
      <c r="B16" s="249"/>
      <c r="C16" s="250"/>
      <c r="D16" s="249"/>
      <c r="E16" s="250"/>
      <c r="F16" s="249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49"/>
      <c r="W16" s="250"/>
    </row>
    <row r="17" spans="1:23" x14ac:dyDescent="0.25">
      <c r="A17" s="19"/>
      <c r="B17" s="251"/>
      <c r="C17" s="252"/>
      <c r="D17" s="251"/>
      <c r="E17" s="252"/>
      <c r="F17" s="25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51"/>
      <c r="W17" s="252"/>
    </row>
    <row r="18" spans="1:23" x14ac:dyDescent="0.25">
      <c r="A18" s="20"/>
      <c r="B18" s="249"/>
      <c r="C18" s="250"/>
      <c r="D18" s="249"/>
      <c r="E18" s="250"/>
      <c r="F18" s="249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49"/>
      <c r="W18" s="250"/>
    </row>
    <row r="19" spans="1:23" x14ac:dyDescent="0.25">
      <c r="A19" s="19"/>
      <c r="B19" s="251"/>
      <c r="C19" s="252"/>
      <c r="D19" s="251"/>
      <c r="E19" s="252"/>
      <c r="F19" s="25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  <c r="T19" s="261"/>
      <c r="U19" s="261"/>
      <c r="V19" s="251"/>
      <c r="W19" s="252"/>
    </row>
    <row r="20" spans="1:23" x14ac:dyDescent="0.25">
      <c r="A20" s="20"/>
      <c r="B20" s="249"/>
      <c r="C20" s="250"/>
      <c r="D20" s="249"/>
      <c r="E20" s="250"/>
      <c r="F20" s="249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49"/>
      <c r="W20" s="250"/>
    </row>
    <row r="21" spans="1:23" x14ac:dyDescent="0.25">
      <c r="A21" s="19"/>
      <c r="B21" s="251"/>
      <c r="C21" s="252"/>
      <c r="D21" s="251"/>
      <c r="E21" s="252"/>
      <c r="F21" s="251"/>
      <c r="G21" s="261"/>
      <c r="H21" s="261"/>
      <c r="I21" s="261"/>
      <c r="J21" s="261"/>
      <c r="K21" s="261"/>
      <c r="L21" s="261"/>
      <c r="M21" s="261"/>
      <c r="N21" s="261"/>
      <c r="O21" s="261"/>
      <c r="P21" s="261"/>
      <c r="Q21" s="261"/>
      <c r="R21" s="261"/>
      <c r="S21" s="261"/>
      <c r="T21" s="261"/>
      <c r="U21" s="261"/>
      <c r="V21" s="251"/>
      <c r="W21" s="252"/>
    </row>
    <row r="22" spans="1:23" x14ac:dyDescent="0.25">
      <c r="A22" s="20"/>
      <c r="B22" s="249"/>
      <c r="C22" s="250"/>
      <c r="D22" s="249"/>
      <c r="E22" s="250"/>
      <c r="F22" s="249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49"/>
      <c r="W22" s="250"/>
    </row>
    <row r="23" spans="1:23" x14ac:dyDescent="0.25">
      <c r="A23" s="19"/>
      <c r="B23" s="251"/>
      <c r="C23" s="252"/>
      <c r="D23" s="251"/>
      <c r="E23" s="252"/>
      <c r="F23" s="251"/>
      <c r="G23" s="261"/>
      <c r="H23" s="261"/>
      <c r="I23" s="261"/>
      <c r="J23" s="261"/>
      <c r="K23" s="261"/>
      <c r="L23" s="261"/>
      <c r="M23" s="261"/>
      <c r="N23" s="261"/>
      <c r="O23" s="261"/>
      <c r="P23" s="261"/>
      <c r="Q23" s="261"/>
      <c r="R23" s="261"/>
      <c r="S23" s="261"/>
      <c r="T23" s="261"/>
      <c r="U23" s="261"/>
      <c r="V23" s="251"/>
      <c r="W23" s="252"/>
    </row>
    <row r="24" spans="1:23" x14ac:dyDescent="0.25">
      <c r="A24" s="20"/>
      <c r="B24" s="249"/>
      <c r="C24" s="250"/>
      <c r="D24" s="249"/>
      <c r="E24" s="250"/>
      <c r="F24" s="249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49"/>
      <c r="W24" s="250"/>
    </row>
    <row r="25" spans="1:23" x14ac:dyDescent="0.25">
      <c r="A25" s="19"/>
      <c r="B25" s="251"/>
      <c r="C25" s="252"/>
      <c r="D25" s="251"/>
      <c r="E25" s="252"/>
      <c r="F25" s="251"/>
      <c r="G25" s="261"/>
      <c r="H25" s="261"/>
      <c r="I25" s="261"/>
      <c r="J25" s="261"/>
      <c r="K25" s="261"/>
      <c r="L25" s="261"/>
      <c r="M25" s="261"/>
      <c r="N25" s="261"/>
      <c r="O25" s="261"/>
      <c r="P25" s="261"/>
      <c r="Q25" s="261"/>
      <c r="R25" s="261"/>
      <c r="S25" s="261"/>
      <c r="T25" s="261"/>
      <c r="U25" s="261"/>
      <c r="V25" s="251"/>
      <c r="W25" s="252"/>
    </row>
    <row r="26" spans="1:23" x14ac:dyDescent="0.25">
      <c r="A26" s="20"/>
      <c r="B26" s="249"/>
      <c r="C26" s="250"/>
      <c r="D26" s="249"/>
      <c r="E26" s="250"/>
      <c r="F26" s="249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49"/>
      <c r="W26" s="250"/>
    </row>
    <row r="27" spans="1:23" x14ac:dyDescent="0.25">
      <c r="A27" s="19"/>
      <c r="B27" s="251"/>
      <c r="C27" s="252"/>
      <c r="D27" s="251"/>
      <c r="E27" s="252"/>
      <c r="F27" s="25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261"/>
      <c r="R27" s="261"/>
      <c r="S27" s="261"/>
      <c r="T27" s="261"/>
      <c r="U27" s="261"/>
      <c r="V27" s="251"/>
      <c r="W27" s="252"/>
    </row>
    <row r="28" spans="1:23" x14ac:dyDescent="0.25">
      <c r="A28" s="20"/>
      <c r="B28" s="249"/>
      <c r="C28" s="250"/>
      <c r="D28" s="249"/>
      <c r="E28" s="250"/>
      <c r="F28" s="249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49"/>
      <c r="W28" s="250"/>
    </row>
    <row r="29" spans="1:23" x14ac:dyDescent="0.25">
      <c r="A29" s="19"/>
      <c r="B29" s="251"/>
      <c r="C29" s="252"/>
      <c r="D29" s="251"/>
      <c r="E29" s="252"/>
      <c r="F29" s="25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261"/>
      <c r="T29" s="261"/>
      <c r="U29" s="261"/>
      <c r="V29" s="251"/>
      <c r="W29" s="252"/>
    </row>
    <row r="30" spans="1:23" x14ac:dyDescent="0.25">
      <c r="A30" s="20"/>
      <c r="B30" s="249"/>
      <c r="C30" s="250"/>
      <c r="D30" s="249"/>
      <c r="E30" s="250"/>
      <c r="F30" s="249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49"/>
      <c r="W30" s="250"/>
    </row>
    <row r="31" spans="1:23" ht="15.75" customHeight="1" x14ac:dyDescent="0.25">
      <c r="A31" s="19"/>
      <c r="B31" s="251"/>
      <c r="C31" s="252"/>
      <c r="D31" s="251"/>
      <c r="E31" s="252"/>
      <c r="F31" s="25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261"/>
      <c r="T31" s="261"/>
      <c r="U31" s="261"/>
      <c r="V31" s="251"/>
      <c r="W31" s="252"/>
    </row>
    <row r="32" spans="1:23" x14ac:dyDescent="0.25">
      <c r="A32" s="20"/>
      <c r="B32" s="249"/>
      <c r="C32" s="250"/>
      <c r="D32" s="249"/>
      <c r="E32" s="250"/>
      <c r="F32" s="249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49"/>
      <c r="W32" s="250"/>
    </row>
    <row r="33" spans="1:23" x14ac:dyDescent="0.25">
      <c r="A33" s="19"/>
      <c r="B33" s="251"/>
      <c r="C33" s="252"/>
      <c r="D33" s="251"/>
      <c r="E33" s="252"/>
      <c r="F33" s="251"/>
      <c r="G33" s="261"/>
      <c r="H33" s="261"/>
      <c r="I33" s="261"/>
      <c r="J33" s="261"/>
      <c r="K33" s="261"/>
      <c r="L33" s="261"/>
      <c r="M33" s="261"/>
      <c r="N33" s="261"/>
      <c r="O33" s="261"/>
      <c r="P33" s="261"/>
      <c r="Q33" s="261"/>
      <c r="R33" s="261"/>
      <c r="S33" s="261"/>
      <c r="T33" s="261"/>
      <c r="U33" s="261"/>
      <c r="V33" s="251"/>
      <c r="W33" s="252"/>
    </row>
    <row r="34" spans="1:23" x14ac:dyDescent="0.25">
      <c r="A34" s="20"/>
      <c r="B34" s="249"/>
      <c r="C34" s="250"/>
      <c r="D34" s="249"/>
      <c r="E34" s="250"/>
      <c r="F34" s="249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49"/>
      <c r="W34" s="250"/>
    </row>
    <row r="35" spans="1:23" x14ac:dyDescent="0.25">
      <c r="A35" s="19"/>
      <c r="B35" s="251"/>
      <c r="C35" s="252"/>
      <c r="D35" s="251"/>
      <c r="E35" s="252"/>
      <c r="F35" s="251"/>
      <c r="G35" s="261"/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1"/>
      <c r="T35" s="261"/>
      <c r="U35" s="261"/>
      <c r="V35" s="251"/>
      <c r="W35" s="252"/>
    </row>
    <row r="36" spans="1:23" ht="15.75" customHeight="1" x14ac:dyDescent="0.25">
      <c r="A36" s="20"/>
      <c r="B36" s="249"/>
      <c r="C36" s="250"/>
      <c r="D36" s="249"/>
      <c r="E36" s="250"/>
      <c r="F36" s="249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49"/>
      <c r="W36" s="250"/>
    </row>
    <row r="37" spans="1:23" x14ac:dyDescent="0.25">
      <c r="A37" s="19"/>
      <c r="B37" s="251"/>
      <c r="C37" s="252"/>
      <c r="D37" s="251"/>
      <c r="E37" s="252"/>
      <c r="F37" s="25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51"/>
      <c r="W37" s="252"/>
    </row>
    <row r="38" spans="1:23" x14ac:dyDescent="0.25">
      <c r="A38" s="20"/>
      <c r="B38" s="249"/>
      <c r="C38" s="250"/>
      <c r="D38" s="249"/>
      <c r="E38" s="250"/>
      <c r="F38" s="249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49"/>
      <c r="W38" s="250"/>
    </row>
    <row r="39" spans="1:23" x14ac:dyDescent="0.25">
      <c r="A39" s="19"/>
      <c r="B39" s="251"/>
      <c r="C39" s="252"/>
      <c r="D39" s="251"/>
      <c r="E39" s="252"/>
      <c r="F39" s="251"/>
      <c r="G39" s="261"/>
      <c r="H39" s="261"/>
      <c r="I39" s="261"/>
      <c r="J39" s="261"/>
      <c r="K39" s="261"/>
      <c r="L39" s="261"/>
      <c r="M39" s="261"/>
      <c r="N39" s="261"/>
      <c r="O39" s="261"/>
      <c r="P39" s="261"/>
      <c r="Q39" s="261"/>
      <c r="R39" s="261"/>
      <c r="S39" s="261"/>
      <c r="T39" s="261"/>
      <c r="U39" s="261"/>
      <c r="V39" s="251"/>
      <c r="W39" s="252"/>
    </row>
    <row r="40" spans="1:23" x14ac:dyDescent="0.25">
      <c r="A40" s="20"/>
      <c r="B40" s="249"/>
      <c r="C40" s="250"/>
      <c r="D40" s="249"/>
      <c r="E40" s="250"/>
      <c r="F40" s="249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49"/>
      <c r="W40" s="250"/>
    </row>
    <row r="41" spans="1:23" x14ac:dyDescent="0.25">
      <c r="A41" s="19"/>
      <c r="B41" s="251"/>
      <c r="C41" s="252"/>
      <c r="D41" s="251"/>
      <c r="E41" s="252"/>
      <c r="F41" s="25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51"/>
      <c r="W41" s="252"/>
    </row>
    <row r="42" spans="1:23" x14ac:dyDescent="0.25">
      <c r="A42" s="20"/>
      <c r="B42" s="249"/>
      <c r="C42" s="250"/>
      <c r="D42" s="249"/>
      <c r="E42" s="250"/>
      <c r="F42" s="249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49"/>
      <c r="W42" s="250"/>
    </row>
    <row r="43" spans="1:23" x14ac:dyDescent="0.25">
      <c r="A43" s="19"/>
      <c r="B43" s="251"/>
      <c r="C43" s="252"/>
      <c r="D43" s="251"/>
      <c r="E43" s="252"/>
      <c r="F43" s="25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51"/>
      <c r="W43" s="252"/>
    </row>
    <row r="44" spans="1:23" x14ac:dyDescent="0.25">
      <c r="A44" s="20"/>
      <c r="B44" s="249"/>
      <c r="C44" s="250"/>
      <c r="D44" s="249"/>
      <c r="E44" s="250"/>
      <c r="F44" s="249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49"/>
      <c r="W44" s="250"/>
    </row>
    <row r="45" spans="1:23" x14ac:dyDescent="0.25">
      <c r="A45" s="19"/>
      <c r="B45" s="251"/>
      <c r="C45" s="252"/>
      <c r="D45" s="251"/>
      <c r="E45" s="252"/>
      <c r="F45" s="25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261"/>
      <c r="U45" s="261"/>
      <c r="V45" s="251"/>
      <c r="W45" s="252"/>
    </row>
    <row r="46" spans="1:23" x14ac:dyDescent="0.25">
      <c r="A46" s="20"/>
      <c r="B46" s="249"/>
      <c r="C46" s="250"/>
      <c r="D46" s="249"/>
      <c r="E46" s="250"/>
      <c r="F46" s="249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49"/>
      <c r="W46" s="250"/>
    </row>
    <row r="47" spans="1:23" x14ac:dyDescent="0.25">
      <c r="A47" s="19"/>
      <c r="B47" s="251"/>
      <c r="C47" s="252"/>
      <c r="D47" s="251"/>
      <c r="E47" s="252"/>
      <c r="F47" s="25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261"/>
      <c r="U47" s="261"/>
      <c r="V47" s="251"/>
      <c r="W47" s="252"/>
    </row>
    <row r="48" spans="1:23" x14ac:dyDescent="0.25">
      <c r="A48" s="20"/>
      <c r="B48" s="249"/>
      <c r="C48" s="250"/>
      <c r="D48" s="249"/>
      <c r="E48" s="250"/>
      <c r="F48" s="249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49"/>
      <c r="W48" s="250"/>
    </row>
    <row r="49" spans="1:23" x14ac:dyDescent="0.25">
      <c r="A49" s="19"/>
      <c r="B49" s="251"/>
      <c r="C49" s="252"/>
      <c r="D49" s="251"/>
      <c r="E49" s="252"/>
      <c r="F49" s="25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1"/>
      <c r="V49" s="251"/>
      <c r="W49" s="252"/>
    </row>
    <row r="50" spans="1:23" x14ac:dyDescent="0.25">
      <c r="A50" s="20"/>
      <c r="B50" s="249"/>
      <c r="C50" s="250"/>
      <c r="D50" s="249"/>
      <c r="E50" s="250"/>
      <c r="F50" s="249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49"/>
      <c r="W50" s="250"/>
    </row>
    <row r="51" spans="1:23" x14ac:dyDescent="0.25">
      <c r="A51" s="19"/>
      <c r="B51" s="251"/>
      <c r="C51" s="252"/>
      <c r="D51" s="251"/>
      <c r="E51" s="252"/>
      <c r="F51" s="25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9"/>
      <c r="W51" s="270"/>
    </row>
    <row r="52" spans="1:23" ht="15.75" thickBot="1" x14ac:dyDescent="0.3">
      <c r="A52" s="21"/>
      <c r="B52" s="264"/>
      <c r="C52" s="265"/>
      <c r="D52" s="264"/>
      <c r="E52" s="265"/>
      <c r="F52" s="264"/>
      <c r="G52" s="266"/>
      <c r="H52" s="266"/>
      <c r="I52" s="266"/>
      <c r="J52" s="266"/>
      <c r="K52" s="266"/>
      <c r="L52" s="266"/>
      <c r="M52" s="266"/>
      <c r="N52" s="266"/>
      <c r="O52" s="266"/>
      <c r="P52" s="266"/>
      <c r="Q52" s="266"/>
      <c r="R52" s="266"/>
      <c r="S52" s="266"/>
      <c r="T52" s="266"/>
      <c r="U52" s="266"/>
      <c r="V52" s="267"/>
      <c r="W52" s="268"/>
    </row>
  </sheetData>
  <sheetProtection selectLockedCells="1"/>
  <mergeCells count="201">
    <mergeCell ref="B52:C52"/>
    <mergeCell ref="D52:E52"/>
    <mergeCell ref="F52:U52"/>
    <mergeCell ref="V52:W52"/>
    <mergeCell ref="B50:C50"/>
    <mergeCell ref="D50:E50"/>
    <mergeCell ref="F50:U50"/>
    <mergeCell ref="V50:W50"/>
    <mergeCell ref="B51:C51"/>
    <mergeCell ref="D51:E51"/>
    <mergeCell ref="F51:U51"/>
    <mergeCell ref="V51:W51"/>
    <mergeCell ref="B48:C48"/>
    <mergeCell ref="D48:E48"/>
    <mergeCell ref="F48:U48"/>
    <mergeCell ref="V48:W48"/>
    <mergeCell ref="B49:C49"/>
    <mergeCell ref="D49:E49"/>
    <mergeCell ref="F49:U49"/>
    <mergeCell ref="V49:W49"/>
    <mergeCell ref="B46:C46"/>
    <mergeCell ref="D46:E46"/>
    <mergeCell ref="F46:U46"/>
    <mergeCell ref="V46:W46"/>
    <mergeCell ref="B47:C47"/>
    <mergeCell ref="D47:E47"/>
    <mergeCell ref="F47:U47"/>
    <mergeCell ref="V47:W47"/>
    <mergeCell ref="B44:C44"/>
    <mergeCell ref="D44:E44"/>
    <mergeCell ref="F44:U44"/>
    <mergeCell ref="V44:W44"/>
    <mergeCell ref="B45:C45"/>
    <mergeCell ref="D45:E45"/>
    <mergeCell ref="F45:U45"/>
    <mergeCell ref="V45:W45"/>
    <mergeCell ref="B42:C42"/>
    <mergeCell ref="D42:E42"/>
    <mergeCell ref="F42:U42"/>
    <mergeCell ref="V42:W42"/>
    <mergeCell ref="B43:C43"/>
    <mergeCell ref="D43:E43"/>
    <mergeCell ref="F43:U43"/>
    <mergeCell ref="V43:W43"/>
    <mergeCell ref="B40:C40"/>
    <mergeCell ref="D40:E40"/>
    <mergeCell ref="F40:U40"/>
    <mergeCell ref="V40:W40"/>
    <mergeCell ref="B41:C41"/>
    <mergeCell ref="D41:E41"/>
    <mergeCell ref="F41:U41"/>
    <mergeCell ref="V41:W41"/>
    <mergeCell ref="B38:C38"/>
    <mergeCell ref="D38:E38"/>
    <mergeCell ref="F38:U38"/>
    <mergeCell ref="V38:W38"/>
    <mergeCell ref="B39:C39"/>
    <mergeCell ref="D39:E39"/>
    <mergeCell ref="F39:U39"/>
    <mergeCell ref="V39:W39"/>
    <mergeCell ref="B36:C36"/>
    <mergeCell ref="D36:E36"/>
    <mergeCell ref="F36:U36"/>
    <mergeCell ref="V36:W36"/>
    <mergeCell ref="B37:C37"/>
    <mergeCell ref="D37:E37"/>
    <mergeCell ref="F37:U37"/>
    <mergeCell ref="V37:W37"/>
    <mergeCell ref="B34:C34"/>
    <mergeCell ref="D34:E34"/>
    <mergeCell ref="F34:U34"/>
    <mergeCell ref="V34:W34"/>
    <mergeCell ref="B35:C35"/>
    <mergeCell ref="D35:E35"/>
    <mergeCell ref="F35:U35"/>
    <mergeCell ref="V35:W35"/>
    <mergeCell ref="V30:W30"/>
    <mergeCell ref="B31:C31"/>
    <mergeCell ref="D31:E31"/>
    <mergeCell ref="F31:U31"/>
    <mergeCell ref="V31:W31"/>
    <mergeCell ref="B32:C32"/>
    <mergeCell ref="D32:E32"/>
    <mergeCell ref="F32:U32"/>
    <mergeCell ref="V32:W32"/>
    <mergeCell ref="B28:C28"/>
    <mergeCell ref="D28:E28"/>
    <mergeCell ref="F28:U28"/>
    <mergeCell ref="V28:W28"/>
    <mergeCell ref="B29:C29"/>
    <mergeCell ref="D29:E29"/>
    <mergeCell ref="F29:U29"/>
    <mergeCell ref="V29:W29"/>
    <mergeCell ref="B26:C26"/>
    <mergeCell ref="D26:E26"/>
    <mergeCell ref="F26:U26"/>
    <mergeCell ref="V26:W26"/>
    <mergeCell ref="B27:C27"/>
    <mergeCell ref="D27:E27"/>
    <mergeCell ref="F27:U27"/>
    <mergeCell ref="V27:W27"/>
    <mergeCell ref="B24:C24"/>
    <mergeCell ref="D24:E24"/>
    <mergeCell ref="F24:U24"/>
    <mergeCell ref="V24:W24"/>
    <mergeCell ref="B25:C25"/>
    <mergeCell ref="D25:E25"/>
    <mergeCell ref="F25:U25"/>
    <mergeCell ref="B22:C22"/>
    <mergeCell ref="D22:E22"/>
    <mergeCell ref="F22:U22"/>
    <mergeCell ref="V22:W22"/>
    <mergeCell ref="B23:C23"/>
    <mergeCell ref="D23:E23"/>
    <mergeCell ref="F23:U23"/>
    <mergeCell ref="V23:W23"/>
    <mergeCell ref="B20:C20"/>
    <mergeCell ref="D20:E20"/>
    <mergeCell ref="F20:U20"/>
    <mergeCell ref="V20:W20"/>
    <mergeCell ref="B21:C21"/>
    <mergeCell ref="D21:E21"/>
    <mergeCell ref="F21:U21"/>
    <mergeCell ref="V21:W21"/>
    <mergeCell ref="B18:C18"/>
    <mergeCell ref="D18:E18"/>
    <mergeCell ref="F18:U18"/>
    <mergeCell ref="V18:W18"/>
    <mergeCell ref="B19:C19"/>
    <mergeCell ref="D19:E19"/>
    <mergeCell ref="F19:U19"/>
    <mergeCell ref="V19:W19"/>
    <mergeCell ref="B16:C16"/>
    <mergeCell ref="D16:E16"/>
    <mergeCell ref="F16:U16"/>
    <mergeCell ref="V16:W16"/>
    <mergeCell ref="B17:C17"/>
    <mergeCell ref="D17:E17"/>
    <mergeCell ref="F17:U17"/>
    <mergeCell ref="V17:W17"/>
    <mergeCell ref="V13:W13"/>
    <mergeCell ref="B14:C14"/>
    <mergeCell ref="D14:E14"/>
    <mergeCell ref="F14:U14"/>
    <mergeCell ref="V14:W14"/>
    <mergeCell ref="B15:C15"/>
    <mergeCell ref="D15:E15"/>
    <mergeCell ref="F15:U15"/>
    <mergeCell ref="V15:W15"/>
    <mergeCell ref="B12:C12"/>
    <mergeCell ref="D12:E12"/>
    <mergeCell ref="F12:U12"/>
    <mergeCell ref="B13:C13"/>
    <mergeCell ref="D13:E13"/>
    <mergeCell ref="F13:U13"/>
    <mergeCell ref="B10:C10"/>
    <mergeCell ref="D10:E10"/>
    <mergeCell ref="F10:U10"/>
    <mergeCell ref="B11:C11"/>
    <mergeCell ref="D11:E11"/>
    <mergeCell ref="F11:U11"/>
    <mergeCell ref="D3:E3"/>
    <mergeCell ref="F3:U3"/>
    <mergeCell ref="B8:C8"/>
    <mergeCell ref="D8:E8"/>
    <mergeCell ref="F8:U8"/>
    <mergeCell ref="B9:C9"/>
    <mergeCell ref="D9:E9"/>
    <mergeCell ref="F9:U9"/>
    <mergeCell ref="V5:W5"/>
    <mergeCell ref="B6:C6"/>
    <mergeCell ref="D6:E6"/>
    <mergeCell ref="F6:U6"/>
    <mergeCell ref="B7:C7"/>
    <mergeCell ref="D7:E7"/>
    <mergeCell ref="F7:U7"/>
    <mergeCell ref="V9:W9"/>
    <mergeCell ref="V10:W10"/>
    <mergeCell ref="V6:W6"/>
    <mergeCell ref="V7:W7"/>
    <mergeCell ref="V8:W8"/>
    <mergeCell ref="V4:W4"/>
    <mergeCell ref="A1:W2"/>
    <mergeCell ref="D33:E33"/>
    <mergeCell ref="F33:U33"/>
    <mergeCell ref="D30:E30"/>
    <mergeCell ref="F30:U30"/>
    <mergeCell ref="B33:C33"/>
    <mergeCell ref="V33:W33"/>
    <mergeCell ref="B30:C30"/>
    <mergeCell ref="V25:W25"/>
    <mergeCell ref="V11:W11"/>
    <mergeCell ref="V12:W12"/>
    <mergeCell ref="B4:C4"/>
    <mergeCell ref="D4:E4"/>
    <mergeCell ref="F4:U4"/>
    <mergeCell ref="B5:C5"/>
    <mergeCell ref="D5:E5"/>
    <mergeCell ref="F5:U5"/>
    <mergeCell ref="V3:W3"/>
    <mergeCell ref="B3:C3"/>
  </mergeCells>
  <pageMargins left="0" right="0" top="0" bottom="0" header="0.3" footer="0.3"/>
  <pageSetup paperSize="17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N57"/>
  <sheetViews>
    <sheetView workbookViewId="0">
      <selection activeCell="K30" sqref="K30"/>
    </sheetView>
  </sheetViews>
  <sheetFormatPr defaultColWidth="9.140625" defaultRowHeight="15" x14ac:dyDescent="0.25"/>
  <cols>
    <col min="1" max="1" width="14.140625" style="2" customWidth="1"/>
    <col min="2" max="2" width="59.85546875" style="2" customWidth="1"/>
    <col min="3" max="3" width="14.5703125" style="2" customWidth="1"/>
    <col min="4" max="4" width="14.28515625" style="2" customWidth="1"/>
    <col min="5" max="6" width="22.140625" style="2" customWidth="1"/>
    <col min="7" max="7" width="22.7109375" style="2" customWidth="1"/>
    <col min="8" max="8" width="31" style="2" customWidth="1"/>
    <col min="9" max="9" width="28" style="2" customWidth="1"/>
    <col min="10" max="10" width="24.5703125" style="2" customWidth="1"/>
    <col min="11" max="11" width="35.140625" style="2" customWidth="1"/>
    <col min="12" max="12" width="30.140625" style="2" customWidth="1"/>
    <col min="13" max="13" width="23.7109375" style="2" customWidth="1"/>
    <col min="14" max="14" width="18.7109375" style="2" customWidth="1"/>
    <col min="15" max="16384" width="9.140625" style="2"/>
  </cols>
  <sheetData>
    <row r="1" spans="1:14" x14ac:dyDescent="0.25">
      <c r="A1" s="271" t="s">
        <v>73</v>
      </c>
      <c r="B1" s="271"/>
      <c r="C1" s="271"/>
      <c r="D1" s="271"/>
      <c r="E1" s="9"/>
      <c r="F1" s="9"/>
      <c r="G1" s="9" t="s">
        <v>74</v>
      </c>
      <c r="H1" s="9" t="s">
        <v>75</v>
      </c>
      <c r="I1" s="9" t="s">
        <v>16</v>
      </c>
      <c r="J1" s="9" t="s">
        <v>76</v>
      </c>
      <c r="K1" s="9" t="s">
        <v>77</v>
      </c>
      <c r="L1" s="9" t="s">
        <v>78</v>
      </c>
      <c r="M1" s="2" t="s">
        <v>79</v>
      </c>
      <c r="N1" s="2" t="s">
        <v>80</v>
      </c>
    </row>
    <row r="2" spans="1:14" x14ac:dyDescent="0.25">
      <c r="A2" s="9" t="s">
        <v>38</v>
      </c>
      <c r="B2" s="9" t="s">
        <v>81</v>
      </c>
      <c r="C2" s="9" t="s">
        <v>82</v>
      </c>
      <c r="D2" s="9" t="s">
        <v>83</v>
      </c>
      <c r="E2" s="9" t="s">
        <v>47</v>
      </c>
      <c r="F2" s="9" t="s">
        <v>48</v>
      </c>
      <c r="G2" s="9" t="s">
        <v>84</v>
      </c>
      <c r="H2" s="9" t="s">
        <v>85</v>
      </c>
      <c r="I2" s="9" t="s">
        <v>86</v>
      </c>
      <c r="J2" s="9" t="s">
        <v>87</v>
      </c>
      <c r="K2" s="9" t="s">
        <v>88</v>
      </c>
      <c r="L2" s="9" t="s">
        <v>89</v>
      </c>
      <c r="M2" s="2" t="s">
        <v>90</v>
      </c>
      <c r="N2" s="2" t="s">
        <v>91</v>
      </c>
    </row>
    <row r="3" spans="1:14" x14ac:dyDescent="0.25">
      <c r="A3" s="9">
        <v>1</v>
      </c>
      <c r="B3" s="9" t="s">
        <v>92</v>
      </c>
      <c r="C3" s="9" t="s">
        <v>93</v>
      </c>
      <c r="D3" s="9" t="s">
        <v>94</v>
      </c>
      <c r="E3" s="9" t="s">
        <v>95</v>
      </c>
      <c r="F3" s="9" t="s">
        <v>96</v>
      </c>
      <c r="G3" s="9" t="s">
        <v>97</v>
      </c>
      <c r="H3" s="9" t="s">
        <v>98</v>
      </c>
      <c r="I3" s="9" t="s">
        <v>99</v>
      </c>
      <c r="J3" s="9" t="s">
        <v>100</v>
      </c>
      <c r="K3" s="9" t="s">
        <v>101</v>
      </c>
      <c r="L3" s="9" t="s">
        <v>102</v>
      </c>
      <c r="M3" s="2" t="s">
        <v>103</v>
      </c>
    </row>
    <row r="4" spans="1:14" x14ac:dyDescent="0.25">
      <c r="A4" s="9">
        <v>2</v>
      </c>
      <c r="B4" s="9" t="s">
        <v>92</v>
      </c>
      <c r="C4" s="9" t="s">
        <v>93</v>
      </c>
      <c r="D4" s="9" t="s">
        <v>104</v>
      </c>
      <c r="E4" s="9" t="s">
        <v>95</v>
      </c>
      <c r="F4" s="9" t="s">
        <v>96</v>
      </c>
      <c r="G4" s="9" t="s">
        <v>105</v>
      </c>
      <c r="H4" s="9" t="s">
        <v>106</v>
      </c>
      <c r="I4" s="9" t="s">
        <v>107</v>
      </c>
      <c r="J4" s="9" t="s">
        <v>8</v>
      </c>
      <c r="K4" s="9"/>
      <c r="L4" s="9" t="s">
        <v>108</v>
      </c>
    </row>
    <row r="5" spans="1:14" x14ac:dyDescent="0.25">
      <c r="A5" s="9">
        <v>3</v>
      </c>
      <c r="B5" s="9" t="s">
        <v>109</v>
      </c>
      <c r="C5" s="9" t="s">
        <v>110</v>
      </c>
      <c r="D5" s="9" t="s">
        <v>94</v>
      </c>
      <c r="E5" s="9" t="s">
        <v>95</v>
      </c>
      <c r="F5" s="9" t="s">
        <v>96</v>
      </c>
      <c r="G5" s="9"/>
      <c r="H5" s="9" t="s">
        <v>111</v>
      </c>
      <c r="I5" s="9" t="s">
        <v>112</v>
      </c>
      <c r="J5" s="9"/>
      <c r="K5" s="9"/>
      <c r="L5" s="9"/>
    </row>
    <row r="6" spans="1:14" x14ac:dyDescent="0.25">
      <c r="A6" s="9">
        <v>4</v>
      </c>
      <c r="B6" s="9" t="s">
        <v>109</v>
      </c>
      <c r="C6" s="9" t="s">
        <v>110</v>
      </c>
      <c r="D6" s="9" t="s">
        <v>113</v>
      </c>
      <c r="E6" s="9" t="s">
        <v>95</v>
      </c>
      <c r="F6" s="9" t="s">
        <v>96</v>
      </c>
      <c r="G6" s="9"/>
      <c r="H6" s="9"/>
      <c r="I6" s="9"/>
      <c r="J6" s="9"/>
      <c r="K6" s="9"/>
      <c r="L6" s="9"/>
    </row>
    <row r="7" spans="1:14" x14ac:dyDescent="0.25">
      <c r="A7" s="9">
        <v>5</v>
      </c>
      <c r="B7" s="9" t="s">
        <v>114</v>
      </c>
      <c r="C7" s="9" t="s">
        <v>115</v>
      </c>
      <c r="D7" s="9" t="s">
        <v>94</v>
      </c>
      <c r="E7" s="9" t="s">
        <v>95</v>
      </c>
      <c r="F7" s="9" t="s">
        <v>96</v>
      </c>
      <c r="G7" s="9"/>
      <c r="H7" s="9"/>
      <c r="I7" s="9"/>
      <c r="J7" s="9"/>
      <c r="K7" s="9"/>
      <c r="L7" s="9"/>
    </row>
    <row r="8" spans="1:14" x14ac:dyDescent="0.25">
      <c r="A8" s="9">
        <v>6</v>
      </c>
      <c r="B8" s="9" t="s">
        <v>114</v>
      </c>
      <c r="C8" s="9" t="s">
        <v>115</v>
      </c>
      <c r="D8" s="9" t="s">
        <v>113</v>
      </c>
      <c r="E8" s="9" t="s">
        <v>95</v>
      </c>
      <c r="F8" s="9" t="s">
        <v>96</v>
      </c>
      <c r="G8" s="9"/>
      <c r="H8" s="9"/>
      <c r="I8" s="9"/>
      <c r="J8" s="9"/>
      <c r="K8" s="9"/>
      <c r="L8" s="9"/>
    </row>
    <row r="9" spans="1:14" x14ac:dyDescent="0.25">
      <c r="A9" s="9">
        <v>7</v>
      </c>
      <c r="B9" s="9" t="s">
        <v>116</v>
      </c>
      <c r="C9" s="9" t="s">
        <v>115</v>
      </c>
      <c r="D9" s="9" t="s">
        <v>117</v>
      </c>
      <c r="E9" s="9" t="s">
        <v>118</v>
      </c>
      <c r="F9" s="9" t="s">
        <v>96</v>
      </c>
      <c r="G9" s="9"/>
      <c r="H9" s="9"/>
      <c r="I9" s="9"/>
      <c r="J9" s="9"/>
      <c r="K9" s="9"/>
      <c r="L9" s="9"/>
    </row>
    <row r="10" spans="1:14" x14ac:dyDescent="0.25">
      <c r="A10" s="9">
        <v>8</v>
      </c>
      <c r="B10" s="9" t="s">
        <v>116</v>
      </c>
      <c r="C10" s="9" t="s">
        <v>115</v>
      </c>
      <c r="D10" s="9" t="s">
        <v>119</v>
      </c>
      <c r="E10" s="9" t="s">
        <v>118</v>
      </c>
      <c r="F10" s="9" t="s">
        <v>96</v>
      </c>
      <c r="G10" s="9"/>
      <c r="H10" s="9"/>
      <c r="I10" s="9"/>
      <c r="J10" s="9"/>
      <c r="K10" s="9"/>
      <c r="L10" s="9"/>
    </row>
    <row r="11" spans="1:14" x14ac:dyDescent="0.25">
      <c r="A11" s="9">
        <v>9</v>
      </c>
      <c r="B11" s="9" t="s">
        <v>120</v>
      </c>
      <c r="C11" s="9" t="s">
        <v>115</v>
      </c>
      <c r="D11" s="9" t="s">
        <v>121</v>
      </c>
      <c r="E11" s="9" t="s">
        <v>122</v>
      </c>
      <c r="F11" s="9" t="s">
        <v>96</v>
      </c>
      <c r="G11" s="9"/>
      <c r="H11" s="9"/>
      <c r="I11" s="9"/>
      <c r="J11" s="9"/>
      <c r="K11" s="9"/>
      <c r="L11" s="9"/>
    </row>
    <row r="12" spans="1:14" x14ac:dyDescent="0.25">
      <c r="A12" s="9">
        <v>10</v>
      </c>
      <c r="B12" s="9" t="s">
        <v>120</v>
      </c>
      <c r="C12" s="9" t="s">
        <v>115</v>
      </c>
      <c r="D12" s="9" t="s">
        <v>123</v>
      </c>
      <c r="E12" s="9" t="s">
        <v>122</v>
      </c>
      <c r="F12" s="9" t="s">
        <v>96</v>
      </c>
      <c r="G12" s="9"/>
      <c r="H12" s="9"/>
      <c r="I12" s="9"/>
      <c r="J12" s="9"/>
      <c r="K12" s="9"/>
      <c r="L12" s="9"/>
    </row>
    <row r="13" spans="1:14" x14ac:dyDescent="0.25">
      <c r="A13" s="9">
        <v>11</v>
      </c>
      <c r="B13" s="9" t="s">
        <v>124</v>
      </c>
      <c r="C13" s="9" t="s">
        <v>125</v>
      </c>
      <c r="D13" s="9" t="s">
        <v>126</v>
      </c>
      <c r="E13" s="9" t="s">
        <v>127</v>
      </c>
      <c r="F13" s="9" t="s">
        <v>128</v>
      </c>
      <c r="G13" s="9"/>
      <c r="H13" s="9"/>
      <c r="I13" s="9"/>
      <c r="J13" s="9"/>
      <c r="K13" s="9"/>
      <c r="L13" s="9"/>
    </row>
    <row r="14" spans="1:14" x14ac:dyDescent="0.25">
      <c r="A14" s="9">
        <v>12</v>
      </c>
      <c r="B14" s="9" t="s">
        <v>129</v>
      </c>
      <c r="C14" s="9" t="s">
        <v>130</v>
      </c>
      <c r="D14" s="9" t="s">
        <v>126</v>
      </c>
      <c r="E14" s="9" t="s">
        <v>127</v>
      </c>
      <c r="F14" s="9" t="s">
        <v>128</v>
      </c>
      <c r="G14" s="9"/>
      <c r="H14" s="9"/>
      <c r="I14" s="9" t="s">
        <v>2</v>
      </c>
      <c r="J14" s="9" t="s">
        <v>24</v>
      </c>
      <c r="K14" s="9" t="s">
        <v>17</v>
      </c>
      <c r="L14" s="9"/>
    </row>
    <row r="15" spans="1:14" x14ac:dyDescent="0.25">
      <c r="A15" s="9">
        <v>13</v>
      </c>
      <c r="B15" s="9" t="s">
        <v>131</v>
      </c>
      <c r="C15" s="9" t="s">
        <v>125</v>
      </c>
      <c r="D15" s="9" t="s">
        <v>126</v>
      </c>
      <c r="E15" s="9" t="s">
        <v>127</v>
      </c>
      <c r="F15" s="9" t="s">
        <v>128</v>
      </c>
      <c r="G15" s="9"/>
      <c r="H15" s="9"/>
      <c r="I15" s="2" t="s">
        <v>132</v>
      </c>
      <c r="J15" s="37">
        <f ca="1">TODAY()</f>
        <v>46063</v>
      </c>
      <c r="K15" s="9" t="str">
        <f>Cover!A6</f>
        <v>TK-3424-045</v>
      </c>
      <c r="L15" s="9"/>
    </row>
    <row r="16" spans="1:14" x14ac:dyDescent="0.25">
      <c r="A16" s="9">
        <v>14</v>
      </c>
      <c r="B16" s="9" t="s">
        <v>133</v>
      </c>
      <c r="C16" s="9" t="s">
        <v>130</v>
      </c>
      <c r="D16" s="9" t="s">
        <v>126</v>
      </c>
      <c r="E16" s="9" t="s">
        <v>127</v>
      </c>
      <c r="F16" s="9" t="s">
        <v>128</v>
      </c>
      <c r="G16" s="9"/>
      <c r="H16" s="9"/>
      <c r="I16" s="9" t="s">
        <v>134</v>
      </c>
      <c r="J16" s="9"/>
      <c r="K16" s="9"/>
      <c r="L16" s="9"/>
    </row>
    <row r="17" spans="1:12" x14ac:dyDescent="0.25">
      <c r="A17" s="9">
        <v>15</v>
      </c>
      <c r="B17" s="9" t="s">
        <v>135</v>
      </c>
      <c r="C17" s="9" t="s">
        <v>125</v>
      </c>
      <c r="D17" s="9" t="s">
        <v>126</v>
      </c>
      <c r="E17" s="9" t="s">
        <v>127</v>
      </c>
      <c r="F17" s="9" t="s">
        <v>128</v>
      </c>
      <c r="G17" s="9"/>
      <c r="H17" s="9"/>
      <c r="I17" s="9" t="s">
        <v>136</v>
      </c>
      <c r="J17" s="9"/>
      <c r="K17" s="9"/>
      <c r="L17" s="9"/>
    </row>
    <row r="18" spans="1:12" x14ac:dyDescent="0.25">
      <c r="A18" s="9">
        <v>16</v>
      </c>
      <c r="B18" s="9" t="s">
        <v>137</v>
      </c>
      <c r="C18" s="9" t="s">
        <v>130</v>
      </c>
      <c r="D18" s="9" t="s">
        <v>126</v>
      </c>
      <c r="E18" s="9" t="s">
        <v>127</v>
      </c>
      <c r="F18" s="9" t="s">
        <v>128</v>
      </c>
      <c r="G18" s="9"/>
      <c r="H18" s="9"/>
      <c r="I18" s="9" t="s">
        <v>138</v>
      </c>
      <c r="J18" s="9"/>
      <c r="K18" s="9"/>
      <c r="L18" s="9"/>
    </row>
    <row r="19" spans="1:12" x14ac:dyDescent="0.25">
      <c r="A19" s="9">
        <v>17</v>
      </c>
      <c r="B19" s="9" t="s">
        <v>139</v>
      </c>
      <c r="C19" s="9" t="s">
        <v>125</v>
      </c>
      <c r="D19" s="9" t="s">
        <v>140</v>
      </c>
      <c r="E19" s="9" t="s">
        <v>127</v>
      </c>
      <c r="F19" s="9" t="s">
        <v>128</v>
      </c>
      <c r="G19" s="9"/>
      <c r="H19" s="9"/>
      <c r="I19" s="9" t="s">
        <v>141</v>
      </c>
      <c r="J19" s="9"/>
      <c r="K19" s="9"/>
      <c r="L19" s="9"/>
    </row>
    <row r="20" spans="1:12" x14ac:dyDescent="0.25">
      <c r="A20" s="9">
        <v>18</v>
      </c>
      <c r="B20" s="9" t="s">
        <v>142</v>
      </c>
      <c r="C20" s="9" t="s">
        <v>130</v>
      </c>
      <c r="D20" s="9" t="s">
        <v>143</v>
      </c>
      <c r="E20" s="9" t="s">
        <v>95</v>
      </c>
      <c r="F20" s="9" t="s">
        <v>128</v>
      </c>
      <c r="G20" s="9"/>
      <c r="H20" s="9"/>
      <c r="I20" s="9" t="s">
        <v>144</v>
      </c>
      <c r="J20" s="9"/>
      <c r="K20" s="9"/>
      <c r="L20" s="9"/>
    </row>
    <row r="21" spans="1:12" x14ac:dyDescent="0.25">
      <c r="A21" s="9">
        <v>19</v>
      </c>
      <c r="B21" s="9" t="s">
        <v>145</v>
      </c>
      <c r="C21" s="9" t="s">
        <v>130</v>
      </c>
      <c r="D21" s="9" t="s">
        <v>146</v>
      </c>
      <c r="E21" s="9" t="s">
        <v>95</v>
      </c>
      <c r="F21" s="9" t="s">
        <v>96</v>
      </c>
      <c r="G21" s="9"/>
      <c r="H21" s="9"/>
      <c r="I21" s="9" t="s">
        <v>147</v>
      </c>
      <c r="J21" s="9"/>
      <c r="K21" s="9"/>
      <c r="L21" s="9"/>
    </row>
    <row r="22" spans="1:12" x14ac:dyDescent="0.25">
      <c r="A22" s="9">
        <v>20</v>
      </c>
      <c r="B22" s="9" t="s">
        <v>148</v>
      </c>
      <c r="C22" s="9">
        <v>0.03</v>
      </c>
      <c r="D22" s="9" t="s">
        <v>149</v>
      </c>
      <c r="E22" s="9" t="s">
        <v>150</v>
      </c>
      <c r="F22" s="9" t="s">
        <v>96</v>
      </c>
      <c r="G22" s="9"/>
      <c r="H22" s="9"/>
      <c r="I22" s="9" t="s">
        <v>151</v>
      </c>
      <c r="J22" s="9"/>
      <c r="K22" s="9" t="str">
        <f>IF(ISBLANK(Cover!$A$6)=TRUE,"No Suggestion Available","A-"&amp;Cover!$A$6)</f>
        <v>A-TK-3424-045</v>
      </c>
      <c r="L22" s="9"/>
    </row>
    <row r="23" spans="1:12" x14ac:dyDescent="0.25">
      <c r="A23" s="9">
        <v>21</v>
      </c>
      <c r="B23" s="9" t="s">
        <v>152</v>
      </c>
      <c r="C23" s="9" t="s">
        <v>153</v>
      </c>
      <c r="D23" s="9" t="s">
        <v>154</v>
      </c>
      <c r="E23" s="9" t="s">
        <v>122</v>
      </c>
      <c r="F23" s="9" t="s">
        <v>96</v>
      </c>
      <c r="G23" s="9"/>
      <c r="H23" s="9"/>
      <c r="I23" s="9" t="s">
        <v>155</v>
      </c>
      <c r="J23" s="9"/>
      <c r="K23" s="9" t="str">
        <f>IF(ISBLANK(Cover!$A$6)=TRUE,"No Suggestion Available","B-"&amp;Cover!$A$6)</f>
        <v>B-TK-3424-045</v>
      </c>
      <c r="L23" s="9"/>
    </row>
    <row r="24" spans="1:12" x14ac:dyDescent="0.25">
      <c r="A24" s="9">
        <v>22</v>
      </c>
      <c r="B24" s="9" t="s">
        <v>156</v>
      </c>
      <c r="C24" s="9" t="s">
        <v>153</v>
      </c>
      <c r="D24" s="9" t="s">
        <v>157</v>
      </c>
      <c r="E24" s="9" t="s">
        <v>122</v>
      </c>
      <c r="F24" s="9" t="s">
        <v>96</v>
      </c>
      <c r="G24" s="9"/>
      <c r="H24" s="9"/>
      <c r="I24" s="9"/>
      <c r="J24" s="9"/>
      <c r="K24" s="9" t="str">
        <f>IF(ISBLANK(Cover!$A$6)=TRUE,"No Suggestion Available","C-"&amp;Cover!$A$6)</f>
        <v>C-TK-3424-045</v>
      </c>
      <c r="L24" s="9"/>
    </row>
    <row r="25" spans="1:12" x14ac:dyDescent="0.25">
      <c r="A25" s="9">
        <v>23</v>
      </c>
      <c r="B25" s="9" t="s">
        <v>158</v>
      </c>
      <c r="C25" s="9" t="s">
        <v>130</v>
      </c>
      <c r="D25" s="9" t="s">
        <v>159</v>
      </c>
      <c r="E25" s="9" t="s">
        <v>160</v>
      </c>
      <c r="F25" s="9" t="s">
        <v>128</v>
      </c>
      <c r="G25" s="9"/>
      <c r="H25" s="9"/>
      <c r="I25" s="9"/>
      <c r="J25" s="9"/>
      <c r="K25" s="9" t="str">
        <f>IF(ISBLANK(Cover!$A$6)=TRUE,"No Suggestion Available","D-"&amp;Cover!$A$6)</f>
        <v>D-TK-3424-045</v>
      </c>
      <c r="L25" s="9"/>
    </row>
    <row r="26" spans="1:12" x14ac:dyDescent="0.25">
      <c r="A26" s="9">
        <v>24</v>
      </c>
      <c r="B26" s="9" t="s">
        <v>161</v>
      </c>
      <c r="C26" s="9" t="s">
        <v>130</v>
      </c>
      <c r="D26" s="9" t="s">
        <v>162</v>
      </c>
      <c r="E26" s="9" t="s">
        <v>163</v>
      </c>
      <c r="F26" s="9" t="s">
        <v>164</v>
      </c>
      <c r="G26" s="9"/>
      <c r="H26" s="9"/>
      <c r="I26" s="9"/>
      <c r="J26" s="9"/>
      <c r="K26" s="9" t="str">
        <f>IF(ISBLANK(Cover!$A$6)=TRUE,"No Suggestion Available","E-"&amp;Cover!$A$6)</f>
        <v>E-TK-3424-045</v>
      </c>
      <c r="L26" s="9"/>
    </row>
    <row r="27" spans="1:12" x14ac:dyDescent="0.25">
      <c r="A27" s="9">
        <v>25</v>
      </c>
      <c r="B27" s="9" t="s">
        <v>165</v>
      </c>
      <c r="C27" s="9" t="s">
        <v>130</v>
      </c>
      <c r="D27" s="9" t="s">
        <v>117</v>
      </c>
      <c r="E27" s="9" t="s">
        <v>95</v>
      </c>
      <c r="F27" s="9" t="s">
        <v>128</v>
      </c>
      <c r="G27" s="9"/>
      <c r="H27" s="9"/>
      <c r="I27" s="9"/>
      <c r="J27" s="9"/>
      <c r="K27" s="9" t="str">
        <f>IF(ISBLANK(Cover!$A$6)=TRUE,"No Suggestion Available","F-"&amp;Cover!$A$6)</f>
        <v>F-TK-3424-045</v>
      </c>
      <c r="L27" s="9"/>
    </row>
    <row r="28" spans="1:12" x14ac:dyDescent="0.25">
      <c r="A28" s="9">
        <v>26</v>
      </c>
      <c r="B28" s="9" t="s">
        <v>166</v>
      </c>
      <c r="C28" s="9" t="s">
        <v>130</v>
      </c>
      <c r="D28" s="9" t="s">
        <v>94</v>
      </c>
      <c r="E28" s="9" t="s">
        <v>163</v>
      </c>
      <c r="F28" s="9" t="s">
        <v>164</v>
      </c>
      <c r="G28" s="9"/>
      <c r="H28" s="9"/>
      <c r="I28" s="9"/>
      <c r="J28" s="9"/>
      <c r="K28" s="9" t="str">
        <f>IF(ISBLANK(Cover!$A$6)=TRUE,"No Suggestion Available","G-"&amp;Cover!$A$6)</f>
        <v>G-TK-3424-045</v>
      </c>
      <c r="L28" s="9"/>
    </row>
    <row r="29" spans="1:12" x14ac:dyDescent="0.25">
      <c r="A29" s="9">
        <v>27</v>
      </c>
      <c r="B29" s="9" t="s">
        <v>167</v>
      </c>
      <c r="C29" s="9" t="s">
        <v>130</v>
      </c>
      <c r="D29" s="9" t="s">
        <v>168</v>
      </c>
      <c r="E29" s="9" t="s">
        <v>95</v>
      </c>
      <c r="F29" s="9" t="s">
        <v>128</v>
      </c>
      <c r="G29" s="9"/>
      <c r="H29" s="9"/>
      <c r="I29" s="9"/>
      <c r="J29" s="9"/>
      <c r="K29" s="9" t="str">
        <f>IF(ISBLANK(Cover!$A$6)=TRUE,"No Suggestion Available","H-"&amp;Cover!$A$6)</f>
        <v>H-TK-3424-045</v>
      </c>
      <c r="L29" s="9"/>
    </row>
    <row r="30" spans="1:12" x14ac:dyDescent="0.25">
      <c r="A30" s="9">
        <v>28</v>
      </c>
      <c r="B30" s="9" t="s">
        <v>169</v>
      </c>
      <c r="C30" s="9" t="s">
        <v>130</v>
      </c>
      <c r="D30" s="9" t="s">
        <v>170</v>
      </c>
      <c r="E30" s="9" t="s">
        <v>95</v>
      </c>
      <c r="F30" s="9" t="s">
        <v>128</v>
      </c>
      <c r="G30" s="9"/>
      <c r="H30" s="9"/>
      <c r="I30" s="9"/>
      <c r="J30" s="9"/>
      <c r="K30" s="9"/>
      <c r="L30" s="9"/>
    </row>
    <row r="31" spans="1:12" x14ac:dyDescent="0.25">
      <c r="A31" s="9">
        <v>29</v>
      </c>
      <c r="B31" s="9" t="s">
        <v>171</v>
      </c>
      <c r="C31" s="9" t="s">
        <v>130</v>
      </c>
      <c r="D31" s="9" t="s">
        <v>172</v>
      </c>
      <c r="E31" s="9" t="s">
        <v>173</v>
      </c>
      <c r="F31" s="9" t="s">
        <v>128</v>
      </c>
      <c r="G31" s="9"/>
      <c r="H31" s="9" t="s">
        <v>174</v>
      </c>
      <c r="I31" s="9" t="s">
        <v>175</v>
      </c>
      <c r="J31" s="9"/>
      <c r="K31" s="9"/>
      <c r="L31" s="9"/>
    </row>
    <row r="32" spans="1:12" x14ac:dyDescent="0.25">
      <c r="A32" s="9">
        <v>30</v>
      </c>
      <c r="B32" s="9" t="s">
        <v>176</v>
      </c>
      <c r="C32" s="9" t="s">
        <v>130</v>
      </c>
      <c r="D32" s="9" t="s">
        <v>172</v>
      </c>
      <c r="E32" s="9" t="s">
        <v>173</v>
      </c>
      <c r="F32" s="9" t="s">
        <v>164</v>
      </c>
      <c r="G32" s="9"/>
      <c r="H32" s="9" t="s">
        <v>118</v>
      </c>
      <c r="I32" s="9" t="s">
        <v>96</v>
      </c>
      <c r="J32" s="9"/>
      <c r="K32" s="9"/>
      <c r="L32" s="9"/>
    </row>
    <row r="33" spans="1:12" x14ac:dyDescent="0.25">
      <c r="A33" s="9">
        <v>31</v>
      </c>
      <c r="B33" s="9" t="s">
        <v>177</v>
      </c>
      <c r="C33" s="9" t="s">
        <v>130</v>
      </c>
      <c r="D33" s="9" t="s">
        <v>123</v>
      </c>
      <c r="E33" s="9" t="s">
        <v>95</v>
      </c>
      <c r="F33" s="9" t="s">
        <v>128</v>
      </c>
      <c r="G33" s="9"/>
      <c r="H33" s="9" t="s">
        <v>173</v>
      </c>
      <c r="I33" s="9" t="s">
        <v>178</v>
      </c>
      <c r="J33" s="9"/>
      <c r="K33" s="9"/>
      <c r="L33" s="9"/>
    </row>
    <row r="34" spans="1:12" x14ac:dyDescent="0.25">
      <c r="A34" s="9">
        <v>32</v>
      </c>
      <c r="B34" s="9" t="s">
        <v>179</v>
      </c>
      <c r="C34" s="9" t="s">
        <v>130</v>
      </c>
      <c r="D34" s="9" t="s">
        <v>119</v>
      </c>
      <c r="E34" s="9" t="s">
        <v>180</v>
      </c>
      <c r="F34" s="9" t="s">
        <v>128</v>
      </c>
      <c r="G34" s="9"/>
      <c r="H34" s="9" t="s">
        <v>122</v>
      </c>
      <c r="I34" s="9" t="s">
        <v>181</v>
      </c>
      <c r="J34" s="9"/>
      <c r="K34" s="9"/>
      <c r="L34" s="9"/>
    </row>
    <row r="35" spans="1:12" x14ac:dyDescent="0.25">
      <c r="A35" s="9">
        <v>33</v>
      </c>
      <c r="B35" s="9" t="s">
        <v>182</v>
      </c>
      <c r="C35" s="9" t="s">
        <v>130</v>
      </c>
      <c r="D35" s="9" t="s">
        <v>183</v>
      </c>
      <c r="E35" s="9" t="s">
        <v>173</v>
      </c>
      <c r="F35" s="9" t="s">
        <v>164</v>
      </c>
      <c r="G35" s="9"/>
      <c r="H35" s="9" t="s">
        <v>184</v>
      </c>
      <c r="I35" s="9" t="s">
        <v>128</v>
      </c>
      <c r="J35" s="9"/>
      <c r="K35" s="9"/>
      <c r="L35" s="9"/>
    </row>
    <row r="36" spans="1:12" x14ac:dyDescent="0.25">
      <c r="A36" s="9">
        <v>34</v>
      </c>
      <c r="B36" s="9" t="s">
        <v>185</v>
      </c>
      <c r="C36" s="9" t="s">
        <v>186</v>
      </c>
      <c r="D36" s="9" t="s">
        <v>94</v>
      </c>
      <c r="E36" s="9" t="s">
        <v>122</v>
      </c>
      <c r="F36" s="9" t="s">
        <v>96</v>
      </c>
      <c r="G36" s="9"/>
      <c r="H36" s="9" t="s">
        <v>187</v>
      </c>
      <c r="I36" s="9" t="s">
        <v>164</v>
      </c>
      <c r="J36" s="9"/>
      <c r="K36" s="9"/>
      <c r="L36" s="9"/>
    </row>
    <row r="37" spans="1:12" x14ac:dyDescent="0.25">
      <c r="A37" s="9">
        <v>35</v>
      </c>
      <c r="B37" s="9" t="s">
        <v>185</v>
      </c>
      <c r="C37" s="9" t="s">
        <v>186</v>
      </c>
      <c r="D37" s="9" t="s">
        <v>113</v>
      </c>
      <c r="E37" s="9" t="s">
        <v>122</v>
      </c>
      <c r="F37" s="9" t="s">
        <v>96</v>
      </c>
      <c r="G37" s="9"/>
      <c r="H37" s="9" t="s">
        <v>188</v>
      </c>
      <c r="I37" s="9"/>
      <c r="J37" s="9"/>
      <c r="K37" s="9"/>
      <c r="L37" s="9"/>
    </row>
    <row r="38" spans="1:12" x14ac:dyDescent="0.25">
      <c r="A38" s="9"/>
      <c r="B38" s="9"/>
      <c r="C38" s="9"/>
      <c r="D38" s="9"/>
      <c r="E38" s="9"/>
      <c r="F38" s="9"/>
      <c r="G38" s="9"/>
      <c r="H38" s="9" t="s">
        <v>189</v>
      </c>
      <c r="I38" s="9"/>
      <c r="J38" s="9"/>
      <c r="K38" s="9"/>
      <c r="L38" s="9"/>
    </row>
    <row r="39" spans="1:12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</row>
    <row r="40" spans="1:12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</row>
    <row r="41" spans="1:12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</row>
    <row r="42" spans="1:12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</row>
    <row r="43" spans="1:12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</row>
    <row r="44" spans="1:12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</row>
    <row r="45" spans="1:12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</row>
    <row r="46" spans="1:12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</row>
    <row r="47" spans="1:12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</row>
    <row r="48" spans="1:12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</row>
    <row r="49" spans="1:12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</row>
    <row r="50" spans="1:12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</row>
    <row r="51" spans="1:12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</row>
    <row r="52" spans="1:12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</row>
    <row r="53" spans="1:12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</row>
    <row r="54" spans="1:12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</row>
    <row r="55" spans="1:12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</row>
    <row r="56" spans="1:12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</row>
    <row r="57" spans="1:12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</row>
  </sheetData>
  <mergeCells count="1">
    <mergeCell ref="A1:D1"/>
  </mergeCells>
  <phoneticPr fontId="4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4D878317F5134DB86F141241808A00" ma:contentTypeVersion="14" ma:contentTypeDescription="Create a new document." ma:contentTypeScope="" ma:versionID="aa7a1abb7810c8610f08507e0c5226b8">
  <xsd:schema xmlns:xsd="http://www.w3.org/2001/XMLSchema" xmlns:xs="http://www.w3.org/2001/XMLSchema" xmlns:p="http://schemas.microsoft.com/office/2006/metadata/properties" xmlns:ns3="7bc32761-ba80-47b4-ab89-b52b57030919" xmlns:ns4="2063ce77-b34d-4044-a9e3-4b82f0ed036e" targetNamespace="http://schemas.microsoft.com/office/2006/metadata/properties" ma:root="true" ma:fieldsID="28383d831d6ba7b9602935bded434bb9" ns3:_="" ns4:_="">
    <xsd:import namespace="7bc32761-ba80-47b4-ab89-b52b57030919"/>
    <xsd:import namespace="2063ce77-b34d-4044-a9e3-4b82f0ed036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MediaServiceOCR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c32761-ba80-47b4-ab89-b52b5703091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63ce77-b34d-4044-a9e3-4b82f0ed03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9E68EB-CD48-47E6-B0BD-16934925B463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2063ce77-b34d-4044-a9e3-4b82f0ed036e"/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7bc32761-ba80-47b4-ab89-b52b57030919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CC3F28C-6398-4149-9027-D3FDC7BECB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c32761-ba80-47b4-ab89-b52b57030919"/>
    <ds:schemaRef ds:uri="2063ce77-b34d-4044-a9e3-4b82f0ed03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BE5AE3F-FB55-47D5-B82B-6544BAE49E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Cover</vt:lpstr>
      <vt:lpstr>Primary Operation 1</vt:lpstr>
      <vt:lpstr>Primary Operation 2</vt:lpstr>
      <vt:lpstr>Secondary Operation (2)</vt:lpstr>
      <vt:lpstr>Primary Operation 3</vt:lpstr>
      <vt:lpstr>Secondary Operation</vt:lpstr>
      <vt:lpstr>Primary Operation 4</vt:lpstr>
      <vt:lpstr>Primary Operation 5</vt:lpstr>
      <vt:lpstr>Primary Operation 6</vt:lpstr>
      <vt:lpstr>Primary Operation 7</vt:lpstr>
      <vt:lpstr>Primary Operation 8</vt:lpstr>
      <vt:lpstr>Extra Tools &amp; No Notes</vt:lpstr>
      <vt:lpstr>Revision Log</vt:lpstr>
      <vt:lpstr>Construction Sheet</vt:lpstr>
      <vt:lpstr>'Extra Tools &amp; No Notes'!Print_Area</vt:lpstr>
      <vt:lpstr>'Primary Operation 1'!Print_Area</vt:lpstr>
      <vt:lpstr>'Primary Operation 2'!Print_Area</vt:lpstr>
      <vt:lpstr>'Primary Operation 3'!Print_Area</vt:lpstr>
      <vt:lpstr>'Primary Operation 4'!Print_Area</vt:lpstr>
      <vt:lpstr>'Primary Operation 5'!Print_Area</vt:lpstr>
      <vt:lpstr>'Primary Operation 6'!Print_Area</vt:lpstr>
      <vt:lpstr>'Primary Operation 7'!Print_Area</vt:lpstr>
      <vt:lpstr>'Primary Operation 8'!Print_Area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Brad Taylor</dc:creator>
  <cp:keywords/>
  <dc:description/>
  <cp:lastModifiedBy>Brad Taylor</cp:lastModifiedBy>
  <cp:revision/>
  <cp:lastPrinted>2024-07-10T20:12:01Z</cp:lastPrinted>
  <dcterms:created xsi:type="dcterms:W3CDTF">2020-11-03T16:25:22Z</dcterms:created>
  <dcterms:modified xsi:type="dcterms:W3CDTF">2026-02-10T16:45:56Z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0x010100D14D878317F5134DB86F141241808A00</vt:lpwstr>
  </property>
</Properties>
</file>